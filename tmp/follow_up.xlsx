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osam\OneDrive\Desktop\"/>
    </mc:Choice>
  </mc:AlternateContent>
  <xr:revisionPtr revIDLastSave="0" documentId="13_ncr:1_{520A67AB-28AB-4A33-897E-BC0A79D46B1E}" xr6:coauthVersionLast="47" xr6:coauthVersionMax="47" xr10:uidLastSave="{00000000-0000-0000-0000-000000000000}"/>
  <bookViews>
    <workbookView xWindow="-98" yWindow="-98" windowWidth="21795" windowHeight="14235" activeTab="1" xr2:uid="{00000000-000D-0000-FFFF-FFFF00000000}"/>
  </bookViews>
  <sheets>
    <sheet name=" Follow Up 1st" sheetId="1" r:id="rId1"/>
    <sheet name="Result2" sheetId="2" r:id="rId2"/>
    <sheet name="Findings &amp;DiscussionTerm1" sheetId="3" r:id="rId3"/>
  </sheets>
  <definedNames>
    <definedName name="Slicer_1st_Level">#REF!</definedName>
    <definedName name="Slicer_2nd_Level">#REF!</definedName>
    <definedName name="Slicer_3d_Leve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526otKiC09v06AZU5t59c6NlUyUt2dY51fwGLrbHmQQ="/>
    </ext>
  </extLst>
</workbook>
</file>

<file path=xl/calcChain.xml><?xml version="1.0" encoding="utf-8"?>
<calcChain xmlns="http://schemas.openxmlformats.org/spreadsheetml/2006/main">
  <c r="N4" i="2" l="1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3" i="2"/>
  <c r="H3" i="2" s="1"/>
  <c r="K110" i="2"/>
  <c r="M110" i="2" s="1"/>
  <c r="O110" i="2" s="1"/>
  <c r="K109" i="2"/>
  <c r="M109" i="2" s="1"/>
  <c r="O109" i="2" s="1"/>
  <c r="K108" i="2"/>
  <c r="M108" i="2" s="1"/>
  <c r="O108" i="2" s="1"/>
  <c r="O107" i="2"/>
  <c r="M107" i="2"/>
  <c r="K107" i="2"/>
  <c r="K106" i="2"/>
  <c r="M106" i="2" s="1"/>
  <c r="O106" i="2" s="1"/>
  <c r="K105" i="2"/>
  <c r="M105" i="2" s="1"/>
  <c r="O105" i="2" s="1"/>
  <c r="M104" i="2"/>
  <c r="O104" i="2" s="1"/>
  <c r="K104" i="2"/>
  <c r="K103" i="2"/>
  <c r="M103" i="2" s="1"/>
  <c r="O103" i="2" s="1"/>
  <c r="O102" i="2"/>
  <c r="M102" i="2"/>
  <c r="K102" i="2"/>
  <c r="K101" i="2"/>
  <c r="M101" i="2" s="1"/>
  <c r="O101" i="2" s="1"/>
  <c r="K100" i="2"/>
  <c r="M100" i="2" s="1"/>
  <c r="O100" i="2" s="1"/>
  <c r="K99" i="2"/>
  <c r="M99" i="2" s="1"/>
  <c r="O99" i="2" s="1"/>
  <c r="K98" i="2"/>
  <c r="M98" i="2" s="1"/>
  <c r="O98" i="2" s="1"/>
  <c r="O97" i="2"/>
  <c r="M97" i="2"/>
  <c r="K97" i="2"/>
  <c r="K96" i="2"/>
  <c r="M96" i="2" s="1"/>
  <c r="O96" i="2" s="1"/>
  <c r="K95" i="2"/>
  <c r="M95" i="2" s="1"/>
  <c r="O95" i="2" s="1"/>
  <c r="K94" i="2"/>
  <c r="M94" i="2" s="1"/>
  <c r="O94" i="2" s="1"/>
  <c r="K93" i="2"/>
  <c r="M93" i="2" s="1"/>
  <c r="O93" i="2" s="1"/>
  <c r="O92" i="2"/>
  <c r="M92" i="2"/>
  <c r="K92" i="2"/>
  <c r="K91" i="2"/>
  <c r="M91" i="2" s="1"/>
  <c r="O91" i="2" s="1"/>
  <c r="K90" i="2"/>
  <c r="M90" i="2" s="1"/>
  <c r="O90" i="2" s="1"/>
  <c r="K89" i="2"/>
  <c r="M89" i="2" s="1"/>
  <c r="O89" i="2" s="1"/>
  <c r="K88" i="2"/>
  <c r="M88" i="2" s="1"/>
  <c r="O88" i="2" s="1"/>
  <c r="O87" i="2"/>
  <c r="M87" i="2"/>
  <c r="K87" i="2"/>
  <c r="K86" i="2"/>
  <c r="M86" i="2" s="1"/>
  <c r="O86" i="2" s="1"/>
  <c r="K85" i="2"/>
  <c r="M85" i="2" s="1"/>
  <c r="O85" i="2" s="1"/>
  <c r="K84" i="2"/>
  <c r="M84" i="2" s="1"/>
  <c r="O84" i="2" s="1"/>
  <c r="K83" i="2"/>
  <c r="M83" i="2" s="1"/>
  <c r="O83" i="2" s="1"/>
  <c r="O82" i="2"/>
  <c r="M82" i="2"/>
  <c r="K82" i="2"/>
  <c r="K81" i="2"/>
  <c r="M81" i="2" s="1"/>
  <c r="O81" i="2" s="1"/>
  <c r="K80" i="2"/>
  <c r="M80" i="2" s="1"/>
  <c r="O80" i="2" s="1"/>
  <c r="K79" i="2"/>
  <c r="M79" i="2" s="1"/>
  <c r="O79" i="2" s="1"/>
  <c r="K78" i="2"/>
  <c r="M78" i="2" s="1"/>
  <c r="O78" i="2" s="1"/>
  <c r="O77" i="2"/>
  <c r="M77" i="2"/>
  <c r="K77" i="2"/>
  <c r="K76" i="2"/>
  <c r="M76" i="2" s="1"/>
  <c r="O76" i="2" s="1"/>
  <c r="K75" i="2"/>
  <c r="M75" i="2" s="1"/>
  <c r="O75" i="2" s="1"/>
  <c r="K74" i="2"/>
  <c r="M74" i="2" s="1"/>
  <c r="O74" i="2" s="1"/>
  <c r="K73" i="2"/>
  <c r="M73" i="2" s="1"/>
  <c r="O73" i="2" s="1"/>
  <c r="O72" i="2"/>
  <c r="M72" i="2"/>
  <c r="K72" i="2"/>
  <c r="K71" i="2"/>
  <c r="M71" i="2" s="1"/>
  <c r="O71" i="2" s="1"/>
  <c r="K70" i="2"/>
  <c r="M70" i="2" s="1"/>
  <c r="O70" i="2" s="1"/>
  <c r="K69" i="2"/>
  <c r="M69" i="2" s="1"/>
  <c r="O69" i="2" s="1"/>
  <c r="K68" i="2"/>
  <c r="M68" i="2" s="1"/>
  <c r="O68" i="2" s="1"/>
  <c r="O67" i="2"/>
  <c r="M67" i="2"/>
  <c r="K67" i="2"/>
  <c r="K66" i="2"/>
  <c r="M66" i="2" s="1"/>
  <c r="O66" i="2" s="1"/>
  <c r="K65" i="2"/>
  <c r="M65" i="2" s="1"/>
  <c r="O65" i="2" s="1"/>
  <c r="K64" i="2"/>
  <c r="M64" i="2" s="1"/>
  <c r="O64" i="2" s="1"/>
  <c r="K63" i="2"/>
  <c r="M63" i="2" s="1"/>
  <c r="O63" i="2" s="1"/>
  <c r="O62" i="2"/>
  <c r="M62" i="2"/>
  <c r="K62" i="2"/>
  <c r="K61" i="2"/>
  <c r="M61" i="2" s="1"/>
  <c r="O61" i="2" s="1"/>
  <c r="K60" i="2"/>
  <c r="M60" i="2" s="1"/>
  <c r="O60" i="2" s="1"/>
  <c r="M59" i="2"/>
  <c r="O59" i="2" s="1"/>
  <c r="K59" i="2"/>
  <c r="K58" i="2"/>
  <c r="M58" i="2" s="1"/>
  <c r="O58" i="2" s="1"/>
  <c r="O57" i="2"/>
  <c r="M57" i="2"/>
  <c r="K57" i="2"/>
  <c r="K56" i="2"/>
  <c r="M56" i="2" s="1"/>
  <c r="O56" i="2" s="1"/>
  <c r="K55" i="2"/>
  <c r="M55" i="2" s="1"/>
  <c r="O55" i="2" s="1"/>
  <c r="K54" i="2"/>
  <c r="M54" i="2" s="1"/>
  <c r="O54" i="2" s="1"/>
  <c r="K53" i="2"/>
  <c r="M53" i="2" s="1"/>
  <c r="O53" i="2" s="1"/>
  <c r="O52" i="2"/>
  <c r="M52" i="2"/>
  <c r="K52" i="2"/>
  <c r="K51" i="2"/>
  <c r="M51" i="2" s="1"/>
  <c r="O51" i="2" s="1"/>
  <c r="K50" i="2"/>
  <c r="M50" i="2" s="1"/>
  <c r="O50" i="2" s="1"/>
  <c r="K49" i="2"/>
  <c r="M49" i="2" s="1"/>
  <c r="O49" i="2" s="1"/>
  <c r="K48" i="2"/>
  <c r="M48" i="2" s="1"/>
  <c r="O48" i="2" s="1"/>
  <c r="O47" i="2"/>
  <c r="M47" i="2"/>
  <c r="K47" i="2"/>
  <c r="K46" i="2"/>
  <c r="M46" i="2" s="1"/>
  <c r="O46" i="2" s="1"/>
  <c r="K45" i="2"/>
  <c r="M45" i="2" s="1"/>
  <c r="O45" i="2" s="1"/>
  <c r="K44" i="2"/>
  <c r="M44" i="2" s="1"/>
  <c r="O44" i="2" s="1"/>
  <c r="K43" i="2"/>
  <c r="M43" i="2" s="1"/>
  <c r="O43" i="2" s="1"/>
  <c r="O42" i="2"/>
  <c r="M42" i="2"/>
  <c r="K42" i="2"/>
  <c r="K41" i="2"/>
  <c r="M41" i="2" s="1"/>
  <c r="O41" i="2" s="1"/>
  <c r="K40" i="2"/>
  <c r="M40" i="2" s="1"/>
  <c r="O40" i="2" s="1"/>
  <c r="K39" i="2"/>
  <c r="M39" i="2" s="1"/>
  <c r="O39" i="2" s="1"/>
  <c r="K38" i="2"/>
  <c r="M38" i="2" s="1"/>
  <c r="O38" i="2" s="1"/>
  <c r="O37" i="2"/>
  <c r="M37" i="2"/>
  <c r="K37" i="2"/>
  <c r="K36" i="2"/>
  <c r="M36" i="2" s="1"/>
  <c r="O36" i="2" s="1"/>
  <c r="K35" i="2"/>
  <c r="M35" i="2" s="1"/>
  <c r="O35" i="2" s="1"/>
  <c r="K34" i="2"/>
  <c r="M34" i="2" s="1"/>
  <c r="O34" i="2" s="1"/>
  <c r="K33" i="2"/>
  <c r="M33" i="2" s="1"/>
  <c r="O33" i="2" s="1"/>
  <c r="O32" i="2"/>
  <c r="M32" i="2"/>
  <c r="K32" i="2"/>
  <c r="K31" i="2"/>
  <c r="M31" i="2" s="1"/>
  <c r="O31" i="2" s="1"/>
  <c r="K30" i="2"/>
  <c r="M30" i="2" s="1"/>
  <c r="O30" i="2" s="1"/>
  <c r="K29" i="2"/>
  <c r="M29" i="2" s="1"/>
  <c r="O29" i="2" s="1"/>
  <c r="K28" i="2"/>
  <c r="M28" i="2" s="1"/>
  <c r="O28" i="2" s="1"/>
  <c r="O27" i="2"/>
  <c r="M27" i="2"/>
  <c r="K27" i="2"/>
  <c r="K26" i="2"/>
  <c r="M26" i="2" s="1"/>
  <c r="O26" i="2" s="1"/>
  <c r="K25" i="2"/>
  <c r="M25" i="2" s="1"/>
  <c r="O25" i="2" s="1"/>
  <c r="K24" i="2"/>
  <c r="M24" i="2" s="1"/>
  <c r="O24" i="2" s="1"/>
  <c r="K23" i="2"/>
  <c r="M23" i="2" s="1"/>
  <c r="O23" i="2" s="1"/>
  <c r="O22" i="2"/>
  <c r="M22" i="2"/>
  <c r="K22" i="2"/>
  <c r="K21" i="2"/>
  <c r="M21" i="2" s="1"/>
  <c r="O21" i="2" s="1"/>
  <c r="K20" i="2"/>
  <c r="M20" i="2" s="1"/>
  <c r="O20" i="2" s="1"/>
  <c r="K19" i="2"/>
  <c r="M19" i="2" s="1"/>
  <c r="O19" i="2" s="1"/>
  <c r="K18" i="2"/>
  <c r="M18" i="2" s="1"/>
  <c r="O18" i="2" s="1"/>
  <c r="O17" i="2"/>
  <c r="M17" i="2"/>
  <c r="K17" i="2"/>
  <c r="K16" i="2"/>
  <c r="M16" i="2" s="1"/>
  <c r="O16" i="2" s="1"/>
  <c r="K15" i="2"/>
  <c r="M15" i="2" s="1"/>
  <c r="O15" i="2" s="1"/>
  <c r="K14" i="2"/>
  <c r="M14" i="2" s="1"/>
  <c r="O14" i="2" s="1"/>
  <c r="K13" i="2"/>
  <c r="M13" i="2" s="1"/>
  <c r="O13" i="2" s="1"/>
  <c r="O12" i="2"/>
  <c r="M12" i="2"/>
  <c r="K12" i="2"/>
  <c r="K11" i="2"/>
  <c r="M11" i="2" s="1"/>
  <c r="O11" i="2" s="1"/>
  <c r="K10" i="2"/>
  <c r="M10" i="2" s="1"/>
  <c r="O10" i="2" s="1"/>
  <c r="K9" i="2"/>
  <c r="M9" i="2" s="1"/>
  <c r="O9" i="2" s="1"/>
  <c r="K8" i="2"/>
  <c r="M8" i="2" s="1"/>
  <c r="O8" i="2" s="1"/>
  <c r="O7" i="2"/>
  <c r="M7" i="2"/>
  <c r="K7" i="2"/>
  <c r="K6" i="2"/>
  <c r="M6" i="2" s="1"/>
  <c r="O6" i="2" s="1"/>
  <c r="K5" i="2"/>
  <c r="M5" i="2" s="1"/>
  <c r="O5" i="2" s="1"/>
  <c r="K4" i="2"/>
  <c r="M4" i="2" s="1"/>
  <c r="O4" i="2" s="1"/>
  <c r="K3" i="2"/>
  <c r="M3" i="2" s="1"/>
  <c r="O3" i="2" s="1"/>
  <c r="CL110" i="1"/>
  <c r="CK110" i="1"/>
  <c r="CJ110" i="1"/>
  <c r="CI110" i="1"/>
  <c r="CH110" i="1"/>
  <c r="CG110" i="1"/>
  <c r="CL109" i="1"/>
  <c r="CK109" i="1"/>
  <c r="CJ109" i="1"/>
  <c r="CI109" i="1"/>
  <c r="CH109" i="1"/>
  <c r="CG109" i="1"/>
  <c r="CL108" i="1"/>
  <c r="CK108" i="1"/>
  <c r="CJ108" i="1"/>
  <c r="CI108" i="1"/>
  <c r="CH108" i="1"/>
  <c r="CG108" i="1"/>
  <c r="CL107" i="1"/>
  <c r="CK107" i="1"/>
  <c r="CJ107" i="1"/>
  <c r="CI107" i="1"/>
  <c r="CH107" i="1"/>
  <c r="CG107" i="1"/>
  <c r="CL106" i="1"/>
  <c r="CK106" i="1"/>
  <c r="CJ106" i="1"/>
  <c r="CI106" i="1"/>
  <c r="CH106" i="1"/>
  <c r="CG106" i="1"/>
  <c r="CL105" i="1"/>
  <c r="CK105" i="1"/>
  <c r="CJ105" i="1"/>
  <c r="CI105" i="1"/>
  <c r="CH105" i="1"/>
  <c r="CG105" i="1"/>
  <c r="CL104" i="1"/>
  <c r="CK104" i="1"/>
  <c r="CJ104" i="1"/>
  <c r="CI104" i="1"/>
  <c r="CH104" i="1"/>
  <c r="CG104" i="1"/>
  <c r="CL103" i="1"/>
  <c r="CK103" i="1"/>
  <c r="CJ103" i="1"/>
  <c r="CI103" i="1"/>
  <c r="CH103" i="1"/>
  <c r="CG103" i="1"/>
  <c r="CL102" i="1"/>
  <c r="CK102" i="1"/>
  <c r="CJ102" i="1"/>
  <c r="CI102" i="1"/>
  <c r="CH102" i="1"/>
  <c r="CG102" i="1"/>
  <c r="CL101" i="1"/>
  <c r="CK101" i="1"/>
  <c r="CJ101" i="1"/>
  <c r="CI101" i="1"/>
  <c r="CH101" i="1"/>
  <c r="CG101" i="1"/>
  <c r="CL100" i="1"/>
  <c r="CK100" i="1"/>
  <c r="CJ100" i="1"/>
  <c r="CI100" i="1"/>
  <c r="CH100" i="1"/>
  <c r="CG100" i="1"/>
  <c r="CL99" i="1"/>
  <c r="CK99" i="1"/>
  <c r="CJ99" i="1"/>
  <c r="CI99" i="1"/>
  <c r="CH99" i="1"/>
  <c r="CG99" i="1"/>
  <c r="CL98" i="1"/>
  <c r="CK98" i="1"/>
  <c r="CJ98" i="1"/>
  <c r="CI98" i="1"/>
  <c r="CH98" i="1"/>
  <c r="CG98" i="1"/>
  <c r="CL97" i="1"/>
  <c r="CK97" i="1"/>
  <c r="CJ97" i="1"/>
  <c r="CI97" i="1"/>
  <c r="CH97" i="1"/>
  <c r="CG97" i="1"/>
  <c r="CL96" i="1"/>
  <c r="CK96" i="1"/>
  <c r="CJ96" i="1"/>
  <c r="CI96" i="1"/>
  <c r="CH96" i="1"/>
  <c r="CG96" i="1"/>
  <c r="CL95" i="1"/>
  <c r="CK95" i="1"/>
  <c r="CJ95" i="1"/>
  <c r="CI95" i="1"/>
  <c r="CH95" i="1"/>
  <c r="CG95" i="1"/>
  <c r="CL94" i="1"/>
  <c r="CK94" i="1"/>
  <c r="CJ94" i="1"/>
  <c r="CI94" i="1"/>
  <c r="CH94" i="1"/>
  <c r="CG94" i="1"/>
  <c r="CL93" i="1"/>
  <c r="CK93" i="1"/>
  <c r="CJ93" i="1"/>
  <c r="CI93" i="1"/>
  <c r="CH93" i="1"/>
  <c r="CG93" i="1"/>
  <c r="CL92" i="1"/>
  <c r="CK92" i="1"/>
  <c r="CJ92" i="1"/>
  <c r="CI92" i="1"/>
  <c r="CH92" i="1"/>
  <c r="CG92" i="1"/>
  <c r="CL91" i="1"/>
  <c r="CK91" i="1"/>
  <c r="CJ91" i="1"/>
  <c r="CI91" i="1"/>
  <c r="CH91" i="1"/>
  <c r="CG91" i="1"/>
  <c r="CL90" i="1"/>
  <c r="CK90" i="1"/>
  <c r="CJ90" i="1"/>
  <c r="CI90" i="1"/>
  <c r="CH90" i="1"/>
  <c r="CG90" i="1"/>
  <c r="CL89" i="1"/>
  <c r="CK89" i="1"/>
  <c r="CJ89" i="1"/>
  <c r="CI89" i="1"/>
  <c r="CH89" i="1"/>
  <c r="CG89" i="1"/>
  <c r="CL88" i="1"/>
  <c r="CK88" i="1"/>
  <c r="CJ88" i="1"/>
  <c r="CI88" i="1"/>
  <c r="CH88" i="1"/>
  <c r="CG88" i="1"/>
  <c r="CL87" i="1"/>
  <c r="CK87" i="1"/>
  <c r="CJ87" i="1"/>
  <c r="CI87" i="1"/>
  <c r="CH87" i="1"/>
  <c r="CG87" i="1"/>
  <c r="CL86" i="1"/>
  <c r="CK86" i="1"/>
  <c r="CJ86" i="1"/>
  <c r="CI86" i="1"/>
  <c r="CH86" i="1"/>
  <c r="CG86" i="1"/>
  <c r="CL85" i="1"/>
  <c r="CK85" i="1"/>
  <c r="CJ85" i="1"/>
  <c r="CI85" i="1"/>
  <c r="CH85" i="1"/>
  <c r="CG85" i="1"/>
  <c r="CL84" i="1"/>
  <c r="CK84" i="1"/>
  <c r="CJ84" i="1"/>
  <c r="CI84" i="1"/>
  <c r="CH84" i="1"/>
  <c r="CG84" i="1"/>
  <c r="CL83" i="1"/>
  <c r="CK83" i="1"/>
  <c r="CJ83" i="1"/>
  <c r="CI83" i="1"/>
  <c r="CH83" i="1"/>
  <c r="CG83" i="1"/>
  <c r="CL82" i="1"/>
  <c r="CK82" i="1"/>
  <c r="CJ82" i="1"/>
  <c r="CI82" i="1"/>
  <c r="CH82" i="1"/>
  <c r="CG82" i="1"/>
  <c r="CL81" i="1"/>
  <c r="CK81" i="1"/>
  <c r="CJ81" i="1"/>
  <c r="CI81" i="1"/>
  <c r="CH81" i="1"/>
  <c r="CG81" i="1"/>
  <c r="CL80" i="1"/>
  <c r="CK80" i="1"/>
  <c r="CJ80" i="1"/>
  <c r="CI80" i="1"/>
  <c r="CH80" i="1"/>
  <c r="CG80" i="1"/>
  <c r="CL79" i="1"/>
  <c r="CK79" i="1"/>
  <c r="CJ79" i="1"/>
  <c r="CI79" i="1"/>
  <c r="CH79" i="1"/>
  <c r="CG79" i="1"/>
  <c r="CL78" i="1"/>
  <c r="CK78" i="1"/>
  <c r="CJ78" i="1"/>
  <c r="CI78" i="1"/>
  <c r="CH78" i="1"/>
  <c r="CG78" i="1"/>
  <c r="CL77" i="1"/>
  <c r="CK77" i="1"/>
  <c r="CJ77" i="1"/>
  <c r="CI77" i="1"/>
  <c r="CH77" i="1"/>
  <c r="CG77" i="1"/>
  <c r="CL76" i="1"/>
  <c r="CK76" i="1"/>
  <c r="CJ76" i="1"/>
  <c r="CI76" i="1"/>
  <c r="CH76" i="1"/>
  <c r="CG76" i="1"/>
  <c r="CL75" i="1"/>
  <c r="CK75" i="1"/>
  <c r="CJ75" i="1"/>
  <c r="CI75" i="1"/>
  <c r="CH75" i="1"/>
  <c r="CG75" i="1"/>
  <c r="CL74" i="1"/>
  <c r="CK74" i="1"/>
  <c r="CJ74" i="1"/>
  <c r="CI74" i="1"/>
  <c r="CH74" i="1"/>
  <c r="CG74" i="1"/>
  <c r="CL73" i="1"/>
  <c r="CK73" i="1"/>
  <c r="CJ73" i="1"/>
  <c r="CI73" i="1"/>
  <c r="CH73" i="1"/>
  <c r="CG73" i="1"/>
  <c r="CL72" i="1"/>
  <c r="CK72" i="1"/>
  <c r="CJ72" i="1"/>
  <c r="CI72" i="1"/>
  <c r="CH72" i="1"/>
  <c r="CG72" i="1"/>
  <c r="CL71" i="1"/>
  <c r="CK71" i="1"/>
  <c r="CJ71" i="1"/>
  <c r="CI71" i="1"/>
  <c r="CH71" i="1"/>
  <c r="CG71" i="1"/>
  <c r="CL70" i="1"/>
  <c r="CK70" i="1"/>
  <c r="CJ70" i="1"/>
  <c r="CI70" i="1"/>
  <c r="CH70" i="1"/>
  <c r="CG70" i="1"/>
  <c r="CL69" i="1"/>
  <c r="CK69" i="1"/>
  <c r="CJ69" i="1"/>
  <c r="CI69" i="1"/>
  <c r="CH69" i="1"/>
  <c r="CG69" i="1"/>
  <c r="CL68" i="1"/>
  <c r="CK68" i="1"/>
  <c r="CJ68" i="1"/>
  <c r="CI68" i="1"/>
  <c r="CH68" i="1"/>
  <c r="CG68" i="1"/>
  <c r="CL67" i="1"/>
  <c r="CK67" i="1"/>
  <c r="CJ67" i="1"/>
  <c r="CI67" i="1"/>
  <c r="CH67" i="1"/>
  <c r="CG67" i="1"/>
  <c r="CL66" i="1"/>
  <c r="CK66" i="1"/>
  <c r="CJ66" i="1"/>
  <c r="CI66" i="1"/>
  <c r="CH66" i="1"/>
  <c r="CG66" i="1"/>
  <c r="CL65" i="1"/>
  <c r="CK65" i="1"/>
  <c r="CJ65" i="1"/>
  <c r="CI65" i="1"/>
  <c r="CH65" i="1"/>
  <c r="CG65" i="1"/>
  <c r="CL64" i="1"/>
  <c r="CK64" i="1"/>
  <c r="CJ64" i="1"/>
  <c r="CI64" i="1"/>
  <c r="CH64" i="1"/>
  <c r="CG64" i="1"/>
  <c r="CL63" i="1"/>
  <c r="CK63" i="1"/>
  <c r="CJ63" i="1"/>
  <c r="CI63" i="1"/>
  <c r="CH63" i="1"/>
  <c r="CG63" i="1"/>
  <c r="CL62" i="1"/>
  <c r="CK62" i="1"/>
  <c r="CJ62" i="1"/>
  <c r="CI62" i="1"/>
  <c r="CH62" i="1"/>
  <c r="CG62" i="1"/>
  <c r="CL61" i="1"/>
  <c r="CK61" i="1"/>
  <c r="CJ61" i="1"/>
  <c r="CI61" i="1"/>
  <c r="CH61" i="1"/>
  <c r="CG61" i="1"/>
  <c r="CL60" i="1"/>
  <c r="CK60" i="1"/>
  <c r="CJ60" i="1"/>
  <c r="CI60" i="1"/>
  <c r="CH60" i="1"/>
  <c r="CG60" i="1"/>
  <c r="CL59" i="1"/>
  <c r="CK59" i="1"/>
  <c r="CJ59" i="1"/>
  <c r="CI59" i="1"/>
  <c r="CH59" i="1"/>
  <c r="CG59" i="1"/>
  <c r="CL58" i="1"/>
  <c r="CK58" i="1"/>
  <c r="CJ58" i="1"/>
  <c r="CI58" i="1"/>
  <c r="CH58" i="1"/>
  <c r="CG58" i="1"/>
  <c r="CL57" i="1"/>
  <c r="CK57" i="1"/>
  <c r="CJ57" i="1"/>
  <c r="CI57" i="1"/>
  <c r="CH57" i="1"/>
  <c r="CG57" i="1"/>
  <c r="CL56" i="1"/>
  <c r="CK56" i="1"/>
  <c r="CJ56" i="1"/>
  <c r="CI56" i="1"/>
  <c r="CH56" i="1"/>
  <c r="CG56" i="1"/>
  <c r="CL55" i="1"/>
  <c r="CK55" i="1"/>
  <c r="CJ55" i="1"/>
  <c r="CI55" i="1"/>
  <c r="CH55" i="1"/>
  <c r="CG55" i="1"/>
  <c r="CL54" i="1"/>
  <c r="CK54" i="1"/>
  <c r="CJ54" i="1"/>
  <c r="CI54" i="1"/>
  <c r="CH54" i="1"/>
  <c r="CG54" i="1"/>
  <c r="CL53" i="1"/>
  <c r="CK53" i="1"/>
  <c r="CJ53" i="1"/>
  <c r="CI53" i="1"/>
  <c r="CH53" i="1"/>
  <c r="CG53" i="1"/>
  <c r="CL52" i="1"/>
  <c r="CK52" i="1"/>
  <c r="CJ52" i="1"/>
  <c r="CI52" i="1"/>
  <c r="CH52" i="1"/>
  <c r="CG52" i="1"/>
  <c r="CL51" i="1"/>
  <c r="CK51" i="1"/>
  <c r="CJ51" i="1"/>
  <c r="CI51" i="1"/>
  <c r="CH51" i="1"/>
  <c r="CG51" i="1"/>
  <c r="CL50" i="1"/>
  <c r="CK50" i="1"/>
  <c r="CJ50" i="1"/>
  <c r="CI50" i="1"/>
  <c r="CH50" i="1"/>
  <c r="CG50" i="1"/>
  <c r="CL49" i="1"/>
  <c r="CK49" i="1"/>
  <c r="CJ49" i="1"/>
  <c r="CI49" i="1"/>
  <c r="CH49" i="1"/>
  <c r="CG49" i="1"/>
  <c r="CL48" i="1"/>
  <c r="CK48" i="1"/>
  <c r="CJ48" i="1"/>
  <c r="CI48" i="1"/>
  <c r="CH48" i="1"/>
  <c r="CG48" i="1"/>
  <c r="CL47" i="1"/>
  <c r="CK47" i="1"/>
  <c r="CJ47" i="1"/>
  <c r="CI47" i="1"/>
  <c r="CH47" i="1"/>
  <c r="CG47" i="1"/>
  <c r="CL46" i="1"/>
  <c r="CK46" i="1"/>
  <c r="CJ46" i="1"/>
  <c r="CI46" i="1"/>
  <c r="CH46" i="1"/>
  <c r="CG46" i="1"/>
  <c r="CL45" i="1"/>
  <c r="CK45" i="1"/>
  <c r="CJ45" i="1"/>
  <c r="CI45" i="1"/>
  <c r="CH45" i="1"/>
  <c r="CG45" i="1"/>
  <c r="CL44" i="1"/>
  <c r="CK44" i="1"/>
  <c r="CJ44" i="1"/>
  <c r="CI44" i="1"/>
  <c r="CH44" i="1"/>
  <c r="CG44" i="1"/>
  <c r="CL43" i="1"/>
  <c r="CK43" i="1"/>
  <c r="CJ43" i="1"/>
  <c r="CI43" i="1"/>
  <c r="CH43" i="1"/>
  <c r="CG43" i="1"/>
  <c r="CL42" i="1"/>
  <c r="CK42" i="1"/>
  <c r="CJ42" i="1"/>
  <c r="CI42" i="1"/>
  <c r="CH42" i="1"/>
  <c r="CG42" i="1"/>
  <c r="CL41" i="1"/>
  <c r="CK41" i="1"/>
  <c r="CJ41" i="1"/>
  <c r="CI41" i="1"/>
  <c r="CH41" i="1"/>
  <c r="CG41" i="1"/>
  <c r="CL40" i="1"/>
  <c r="CK40" i="1"/>
  <c r="CJ40" i="1"/>
  <c r="CI40" i="1"/>
  <c r="CH40" i="1"/>
  <c r="CG40" i="1"/>
  <c r="CL39" i="1"/>
  <c r="CK39" i="1"/>
  <c r="CJ39" i="1"/>
  <c r="CI39" i="1"/>
  <c r="CH39" i="1"/>
  <c r="CG39" i="1"/>
  <c r="CL38" i="1"/>
  <c r="CK38" i="1"/>
  <c r="CJ38" i="1"/>
  <c r="CI38" i="1"/>
  <c r="CH38" i="1"/>
  <c r="CG38" i="1"/>
  <c r="CL37" i="1"/>
  <c r="CK37" i="1"/>
  <c r="CJ37" i="1"/>
  <c r="CI37" i="1"/>
  <c r="CH37" i="1"/>
  <c r="CG37" i="1"/>
  <c r="CL36" i="1"/>
  <c r="CK36" i="1"/>
  <c r="CJ36" i="1"/>
  <c r="CI36" i="1"/>
  <c r="CH36" i="1"/>
  <c r="CG36" i="1"/>
  <c r="CL35" i="1"/>
  <c r="CK35" i="1"/>
  <c r="CJ35" i="1"/>
  <c r="CI35" i="1"/>
  <c r="CH35" i="1"/>
  <c r="CG35" i="1"/>
  <c r="CL34" i="1"/>
  <c r="CK34" i="1"/>
  <c r="CJ34" i="1"/>
  <c r="CI34" i="1"/>
  <c r="CH34" i="1"/>
  <c r="CG34" i="1"/>
  <c r="CL33" i="1"/>
  <c r="CK33" i="1"/>
  <c r="CJ33" i="1"/>
  <c r="CI33" i="1"/>
  <c r="CH33" i="1"/>
  <c r="CG33" i="1"/>
  <c r="CL32" i="1"/>
  <c r="CK32" i="1"/>
  <c r="CJ32" i="1"/>
  <c r="CI32" i="1"/>
  <c r="CH32" i="1"/>
  <c r="CG32" i="1"/>
  <c r="CL31" i="1"/>
  <c r="CK31" i="1"/>
  <c r="CJ31" i="1"/>
  <c r="CI31" i="1"/>
  <c r="CH31" i="1"/>
  <c r="CG31" i="1"/>
  <c r="CL30" i="1"/>
  <c r="CK30" i="1"/>
  <c r="CJ30" i="1"/>
  <c r="CI30" i="1"/>
  <c r="CH30" i="1"/>
  <c r="CG30" i="1"/>
  <c r="CL29" i="1"/>
  <c r="CK29" i="1"/>
  <c r="CJ29" i="1"/>
  <c r="CI29" i="1"/>
  <c r="CH29" i="1"/>
  <c r="CG29" i="1"/>
  <c r="CL28" i="1"/>
  <c r="CK28" i="1"/>
  <c r="CJ28" i="1"/>
  <c r="CI28" i="1"/>
  <c r="CH28" i="1"/>
  <c r="CG28" i="1"/>
  <c r="CL27" i="1"/>
  <c r="CK27" i="1"/>
  <c r="CJ27" i="1"/>
  <c r="CI27" i="1"/>
  <c r="CH27" i="1"/>
  <c r="CG27" i="1"/>
  <c r="CL26" i="1"/>
  <c r="CK26" i="1"/>
  <c r="CJ26" i="1"/>
  <c r="CI26" i="1"/>
  <c r="CH26" i="1"/>
  <c r="CG26" i="1"/>
  <c r="CL25" i="1"/>
  <c r="CK25" i="1"/>
  <c r="CJ25" i="1"/>
  <c r="CI25" i="1"/>
  <c r="CH25" i="1"/>
  <c r="CG25" i="1"/>
  <c r="CL24" i="1"/>
  <c r="CK24" i="1"/>
  <c r="CJ24" i="1"/>
  <c r="CI24" i="1"/>
  <c r="CH24" i="1"/>
  <c r="CG24" i="1"/>
  <c r="CL23" i="1"/>
  <c r="CK23" i="1"/>
  <c r="CJ23" i="1"/>
  <c r="CI23" i="1"/>
  <c r="CH23" i="1"/>
  <c r="CG23" i="1"/>
  <c r="CL22" i="1"/>
  <c r="CK22" i="1"/>
  <c r="CJ22" i="1"/>
  <c r="CI22" i="1"/>
  <c r="CH22" i="1"/>
  <c r="CG22" i="1"/>
  <c r="CL21" i="1"/>
  <c r="CK21" i="1"/>
  <c r="CJ21" i="1"/>
  <c r="CI21" i="1"/>
  <c r="CH21" i="1"/>
  <c r="CG21" i="1"/>
  <c r="CL20" i="1"/>
  <c r="CK20" i="1"/>
  <c r="CJ20" i="1"/>
  <c r="CI20" i="1"/>
  <c r="CH20" i="1"/>
  <c r="CG20" i="1"/>
  <c r="CL19" i="1"/>
  <c r="CK19" i="1"/>
  <c r="CJ19" i="1"/>
  <c r="CI19" i="1"/>
  <c r="CH19" i="1"/>
  <c r="CG19" i="1"/>
  <c r="CL18" i="1"/>
  <c r="CK18" i="1"/>
  <c r="CJ18" i="1"/>
  <c r="CI18" i="1"/>
  <c r="CH18" i="1"/>
  <c r="CG18" i="1"/>
  <c r="CL17" i="1"/>
  <c r="CK17" i="1"/>
  <c r="CJ17" i="1"/>
  <c r="CI17" i="1"/>
  <c r="CH17" i="1"/>
  <c r="CG17" i="1"/>
  <c r="CL16" i="1"/>
  <c r="CK16" i="1"/>
  <c r="CJ16" i="1"/>
  <c r="CI16" i="1"/>
  <c r="CH16" i="1"/>
  <c r="CG16" i="1"/>
  <c r="CL15" i="1"/>
  <c r="CK15" i="1"/>
  <c r="CJ15" i="1"/>
  <c r="CI15" i="1"/>
  <c r="CH15" i="1"/>
  <c r="CG15" i="1"/>
  <c r="CL14" i="1"/>
  <c r="CK14" i="1"/>
  <c r="CJ14" i="1"/>
  <c r="CI14" i="1"/>
  <c r="CH14" i="1"/>
  <c r="CG14" i="1"/>
  <c r="CL13" i="1"/>
  <c r="CK13" i="1"/>
  <c r="CJ13" i="1"/>
  <c r="CI13" i="1"/>
  <c r="CH13" i="1"/>
  <c r="CG13" i="1"/>
  <c r="CL12" i="1"/>
  <c r="CK12" i="1"/>
  <c r="CJ12" i="1"/>
  <c r="CI12" i="1"/>
  <c r="CH12" i="1"/>
  <c r="CG12" i="1"/>
  <c r="CL11" i="1"/>
  <c r="CK11" i="1"/>
  <c r="CJ11" i="1"/>
  <c r="CI11" i="1"/>
  <c r="CH11" i="1"/>
  <c r="CG11" i="1"/>
  <c r="CL10" i="1"/>
  <c r="CK10" i="1"/>
  <c r="CJ10" i="1"/>
  <c r="CI10" i="1"/>
  <c r="CH10" i="1"/>
  <c r="CG10" i="1"/>
  <c r="CL9" i="1"/>
  <c r="CK9" i="1"/>
  <c r="CJ9" i="1"/>
  <c r="CI9" i="1"/>
  <c r="CH9" i="1"/>
  <c r="CG9" i="1"/>
  <c r="CL8" i="1"/>
  <c r="CK8" i="1"/>
  <c r="CJ8" i="1"/>
  <c r="CI8" i="1"/>
  <c r="CH8" i="1"/>
  <c r="CG8" i="1"/>
  <c r="CL7" i="1"/>
  <c r="CK7" i="1"/>
  <c r="CJ7" i="1"/>
  <c r="CI7" i="1"/>
  <c r="CH7" i="1"/>
  <c r="CG7" i="1"/>
  <c r="CL6" i="1"/>
  <c r="CK6" i="1"/>
  <c r="CJ6" i="1"/>
  <c r="CI6" i="1"/>
  <c r="CH6" i="1"/>
  <c r="CG6" i="1"/>
  <c r="CL5" i="1"/>
  <c r="CK5" i="1"/>
  <c r="CJ5" i="1"/>
  <c r="CI5" i="1"/>
  <c r="CH5" i="1"/>
  <c r="CG5" i="1"/>
  <c r="CL4" i="1"/>
  <c r="CK4" i="1"/>
  <c r="CJ4" i="1"/>
  <c r="CI4" i="1"/>
  <c r="CH4" i="1"/>
  <c r="CG4" i="1"/>
  <c r="CL3" i="1"/>
  <c r="CK3" i="1"/>
  <c r="CJ3" i="1"/>
  <c r="CI3" i="1"/>
  <c r="CH3" i="1"/>
  <c r="CG3" i="1"/>
</calcChain>
</file>

<file path=xl/sharedStrings.xml><?xml version="1.0" encoding="utf-8"?>
<sst xmlns="http://schemas.openxmlformats.org/spreadsheetml/2006/main" count="575" uniqueCount="175">
  <si>
    <t>No</t>
  </si>
  <si>
    <t>Name</t>
  </si>
  <si>
    <t>Class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</si>
  <si>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</si>
  <si>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</si>
  <si>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</si>
  <si>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</si>
  <si>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</si>
  <si>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</si>
  <si>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</si>
  <si>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</si>
  <si>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</si>
  <si>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</si>
  <si>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</si>
  <si>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</si>
  <si>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</si>
  <si>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</si>
  <si>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</si>
  <si>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</si>
  <si>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</si>
  <si>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</si>
  <si>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</si>
  <si>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Quiz1</t>
  </si>
  <si>
    <t>Quiz2</t>
  </si>
  <si>
    <t>Chapter</t>
  </si>
  <si>
    <t xml:space="preserve">Chapter </t>
  </si>
  <si>
    <t xml:space="preserve">Portfolio </t>
  </si>
  <si>
    <t>First Term Average</t>
  </si>
  <si>
    <t>Attendance (5)</t>
  </si>
  <si>
    <t>Participation</t>
  </si>
  <si>
    <t>Behavior</t>
  </si>
  <si>
    <t>Homework (5)</t>
  </si>
  <si>
    <t xml:space="preserve">Test (1)        10 </t>
  </si>
  <si>
    <t xml:space="preserve">Test (2)        10 </t>
  </si>
  <si>
    <t>Quiz (5)</t>
  </si>
  <si>
    <t>Chapter Test (10)</t>
  </si>
  <si>
    <t>Portfolio (5)</t>
  </si>
  <si>
    <t>EBRAHIM NASSER ABDULLAH ALSAGER</t>
  </si>
  <si>
    <t>4A</t>
  </si>
  <si>
    <t>SAIF KHALID MOHAMMED ALAFALIQ</t>
  </si>
  <si>
    <t>ABBAS ALAA HASSAN AL AITHAN</t>
  </si>
  <si>
    <t>ABDULRAHMAN FAHAD ABDULRAHMAN ALJAMAAN</t>
  </si>
  <si>
    <t>Abdullah Abdulmajid Alarfaj</t>
  </si>
  <si>
    <t>OMAR SHADI MOHAMMAD QAWAQNEH</t>
  </si>
  <si>
    <t>FAISAL ABDULMOHSEN ABDULAZIZ ALMULHEM</t>
  </si>
  <si>
    <t>MOHAMMED AHMED YOUSIF ALYOUSIF</t>
  </si>
  <si>
    <t>YOUSIF AHMED ABDULLMAJEED ALHAJII</t>
  </si>
  <si>
    <t>ABDULAZIZ FAHAD ABDULAZIZ ALMULHIM</t>
  </si>
  <si>
    <t>Ali Hussain Alhassan</t>
  </si>
  <si>
    <t>Khalid Mohammed Yousef Almulhim</t>
  </si>
  <si>
    <t>Abdulmohsen hisham alsumail</t>
  </si>
  <si>
    <t>Elyas Yousef Ahmed Alshaghab</t>
  </si>
  <si>
    <t>Naif Abdullah Ali Alessa</t>
  </si>
  <si>
    <t>YOUSEF BASSAM ABDULHAMAID ALHILAL</t>
  </si>
  <si>
    <t>JAWAD MAHMUOD ABDULLAH</t>
  </si>
  <si>
    <t>Abduallah alawad</t>
  </si>
  <si>
    <t>MUBARAK MUHAMMED MUBARAK ALMULHIM</t>
  </si>
  <si>
    <t xml:space="preserve"> YAZEED KHARIM ALANZI</t>
  </si>
  <si>
    <t>YAQOUB HUSSIAN ALI ALHILAL</t>
  </si>
  <si>
    <t>RAKAN ABDULRAHMAN AHMED ALMULHIM</t>
  </si>
  <si>
    <t>ABDULLAH HUSIAN SALEH ALHEJJI</t>
  </si>
  <si>
    <t>4B</t>
  </si>
  <si>
    <t xml:space="preserve">Saad Fahad Alkalfan </t>
  </si>
  <si>
    <t>TALAL FAHAD ABDULAZIZ AL MULHIM</t>
  </si>
  <si>
    <t>ABDULAZIZ AHMED ADEL ALAMER</t>
  </si>
  <si>
    <t>MOHAMMED SAAD MOHAMMED AL DOSSARI</t>
  </si>
  <si>
    <t>MOHAMMED ZIAD AHMED AL MULLA</t>
  </si>
  <si>
    <t>Mohammed Alla Albisher</t>
  </si>
  <si>
    <t>Tamim Ahmed Al Omair</t>
  </si>
  <si>
    <t>Abdullah sultan alsaadoun</t>
  </si>
  <si>
    <t>saud mohammed al dossari</t>
  </si>
  <si>
    <t>OSAMA MOHAMMED M ALALI</t>
  </si>
  <si>
    <t>Mohammed Abdullah Amir alramil</t>
  </si>
  <si>
    <t>Hussain Ali Hussain Bojbara</t>
  </si>
  <si>
    <t>Ali Mohammed AlHajjiAhmed</t>
  </si>
  <si>
    <t>Youssef Ibrahim Alyoussef</t>
  </si>
  <si>
    <t>Moammal Ahmed Ayesh Abdullah Almendeel</t>
  </si>
  <si>
    <t>Rashed Mashel Rashed Alhamdan</t>
  </si>
  <si>
    <t>Yousif mohammed Aldossary</t>
  </si>
  <si>
    <t>MOHAMMED RAMI GHAMEEL BO JBARAH</t>
  </si>
  <si>
    <t>RAYAN HUSSAM MESAD ALMOGHIRAH</t>
  </si>
  <si>
    <t>AHMED ALI AHMED ALSALTAN</t>
  </si>
  <si>
    <t>5A</t>
  </si>
  <si>
    <t>THAMER FAHAD ABDULAZIZ AL MULHIM</t>
  </si>
  <si>
    <t>JAWAD SALMAN AHMAD ALBAWAIDI</t>
  </si>
  <si>
    <t>HASSAN MOAYYED HASSAN AL DAJANI</t>
  </si>
  <si>
    <t>HUSSEIN ABDULLAH AHMAD ALWOSIBAI</t>
  </si>
  <si>
    <t>HUSSEIN ALI AHMED AL YOUSUF</t>
  </si>
  <si>
    <t>KHALID SHADI MOHAMMED QWAQNAH</t>
  </si>
  <si>
    <t>AZZAM AHMED ESSA ALHELAL</t>
  </si>
  <si>
    <t>KHALIFA SAMEER YASEEN AL ABDI</t>
  </si>
  <si>
    <t>ABDULLAH ABDULRAHMAN ABDULLAH ALSULAIMAN</t>
  </si>
  <si>
    <t>ABDALLAH MOHAMMED ESSAM MARAI</t>
  </si>
  <si>
    <t>MOHAMMED BASEL MOHAMMED ALSADWI</t>
  </si>
  <si>
    <t>MOHAMMED ABDULLAH ALSALMAN</t>
  </si>
  <si>
    <t>ADAM IBRAHIM ABDULLAH ALTAHA</t>
  </si>
  <si>
    <t>MOHAMMED IBRAHIM ABDULLAH ALEITHAN</t>
  </si>
  <si>
    <t>MOHAMMED HAITHAM ALARFAJ</t>
  </si>
  <si>
    <t>AHMED ABDULMONEM ALMAGED</t>
  </si>
  <si>
    <t>AHMAD NAJI AHMAD FLITI</t>
  </si>
  <si>
    <t>5B</t>
  </si>
  <si>
    <t>HASSAN MAITHAM TAHER AL HABARH</t>
  </si>
  <si>
    <t>TALIB WASIL MOHAMMED ALNAHWE</t>
  </si>
  <si>
    <t>JALAWI BIN FAISAL BIN FAHAD ALSAUD</t>
  </si>
  <si>
    <t>ABDULAZIZ FAHAD AHMED ALMOUTLAQ</t>
  </si>
  <si>
    <t>ABDULLAH ABDULRAHMAN ABDULLAH BOODAI</t>
  </si>
  <si>
    <t>OMAR MAJED ABDULLATIF IBN DEHAISH</t>
  </si>
  <si>
    <t>MOHAMMAD HASSAN ABDULLAH ALKHUDAIRY</t>
  </si>
  <si>
    <t>MOHAMMED ESSA MOHAMMED ALBISHER</t>
  </si>
  <si>
    <t>MOHAMMED NAYIF AWADH AL OTAIBI</t>
  </si>
  <si>
    <t>IBRAHIM ZIYAD ALDOSSARY</t>
  </si>
  <si>
    <t>IBRAHIM YOUSEF IBRAHIM ALBORSAIS</t>
  </si>
  <si>
    <t>6A</t>
  </si>
  <si>
    <t>ALHASSAN YAHYA HASSAN ALTURFI</t>
  </si>
  <si>
    <t>ELYAS AYMAN ABDULLAH AL BAGHL</t>
  </si>
  <si>
    <t>JAWAD MOHAMMED JAWAD ALHAJJI</t>
  </si>
  <si>
    <t>ABDULAZIZ MUTEB ABDULLAH ALJAAFAR</t>
  </si>
  <si>
    <t>ALI HUSSAIN ALI ALRADWAN</t>
  </si>
  <si>
    <t>ALI GHNNAM ALI ALGHNNAM</t>
  </si>
  <si>
    <t>ALI LUAI ALI ALSALEH</t>
  </si>
  <si>
    <t>OMAR SATTAM ZIYAD ALOTAIBI</t>
  </si>
  <si>
    <t>FARIS ABDULMOHSEN ABDULLAH ALSHEJAJEER</t>
  </si>
  <si>
    <t>MOHAMMED FUAD MOHAMMED AL AWADH</t>
  </si>
  <si>
    <t>NAWAF JALAL RADHI ALBAGSHI</t>
  </si>
  <si>
    <t>AHMED SAAD AHMED ALWAHAIB</t>
  </si>
  <si>
    <t>DANIEL SHAWKI MAHMOUD AWADA</t>
  </si>
  <si>
    <t>ABDALATIF ABDALAH ABDALATIF ALEEMAYR</t>
  </si>
  <si>
    <t>ABDULAZIZ SAUD ABDULAZIZ AL NAAIM</t>
  </si>
  <si>
    <t>ABDULLAH AQEEL HASAN ALABDULLAH</t>
  </si>
  <si>
    <t>MOHAMMED ABDULMAJID MOHAMMED AL ARFAJ</t>
  </si>
  <si>
    <t>YOUSEF MOHAMMED YOUSEF ALMULHIM</t>
  </si>
  <si>
    <t>6B</t>
  </si>
  <si>
    <t>SALEH HUSSAIN SALEH ALHEJJI</t>
  </si>
  <si>
    <t>ABDULLAH THAMIR SAAD AL BARRAK</t>
  </si>
  <si>
    <t>ABDULLAH NASSER ABDULLAH ALSAQER</t>
  </si>
  <si>
    <t>ALI ABDULMOHSEN ALI AL JERY</t>
  </si>
  <si>
    <t>FERAS EMAD MOHAMMED ALSHEHAB</t>
  </si>
  <si>
    <t>HADI ALI AYESH ALALI</t>
  </si>
  <si>
    <t>AHMED ALI AHMED AL MARHOON</t>
  </si>
  <si>
    <t>ALHASAN ALI WASEL ALDANDAN</t>
  </si>
  <si>
    <t>HAMZA MOHAMED SALAHELDIN OMRAN</t>
  </si>
  <si>
    <t>KALED ABDUALRUHMAN YOSEF ALJEGHEMAN</t>
  </si>
  <si>
    <t>ABDULLAH MAHER ABDULLAH AL SAYAH</t>
  </si>
  <si>
    <t>ABDULLAH MUBARAK HAMAD ALFEHAID</t>
  </si>
  <si>
    <t>ALI HUSSAIN A ALJASIM</t>
  </si>
  <si>
    <t>ALI ABDULMUHSEN MOHAMMED ALWABARI</t>
  </si>
  <si>
    <t>OMAR ABDULHAMEED OMAR ALSUWAILEM</t>
  </si>
  <si>
    <t>MOHAMMED KHALIFA ABDURAHMAN ALGHANNAM</t>
  </si>
  <si>
    <t>MURAD JAAFAR RADHI AL ABDULMOHSIN</t>
  </si>
  <si>
    <t>Abdullah Badar Abdullah Al Marri</t>
  </si>
  <si>
    <t>Ibrahim Abdullah  Ibrahim  Al Jouf</t>
  </si>
  <si>
    <t>First Quarter 2025 - 2026</t>
  </si>
  <si>
    <t>Second Quarter 2025 - 2026</t>
  </si>
  <si>
    <t>1 St Quarter Level</t>
  </si>
  <si>
    <t>2 nd Quarter Level</t>
  </si>
  <si>
    <t>Theoretical Exam</t>
  </si>
  <si>
    <t>Practical Exam</t>
  </si>
  <si>
    <t>Total</t>
  </si>
  <si>
    <t>Assessment</t>
  </si>
  <si>
    <t>Grand Total</t>
  </si>
  <si>
    <t>YAZEED KHARIM ALANZI</t>
  </si>
  <si>
    <t>Saad Fahad Alkalfan</t>
  </si>
  <si>
    <t>Data analysis Meeting</t>
  </si>
  <si>
    <t>Interpretations of the root cause of your findings and your theory of action</t>
  </si>
  <si>
    <t xml:space="preserve">Grade </t>
  </si>
  <si>
    <t xml:space="preserve">Computer </t>
  </si>
  <si>
    <r>
      <rPr>
        <sz val="16"/>
        <color rgb="FF000000"/>
        <rFont val="Arial"/>
      </rPr>
      <t xml:space="preserve">Dear Mr. 
I would like to meet you individually to discuss the results of the </t>
    </r>
    <r>
      <rPr>
        <sz val="16"/>
        <color rgb="FFFF0000"/>
        <rFont val="Arial"/>
      </rPr>
      <t>1st semester exam</t>
    </r>
    <r>
      <rPr>
        <sz val="16"/>
        <color rgb="FF000000"/>
        <rFont val="Arial"/>
      </rPr>
      <t xml:space="preserve">. The meeting will be held on --------------. Please be prepared to discuss the following points </t>
    </r>
  </si>
  <si>
    <t>No.</t>
  </si>
  <si>
    <t>Topic for discussion</t>
  </si>
  <si>
    <t>How do you feel about your students’ performance?</t>
  </si>
  <si>
    <t>What part of data caught your attention?</t>
  </si>
  <si>
    <t>What actions can be based on your insights about this analyzed data?</t>
  </si>
  <si>
    <t>What do you recommend to enhance the performance of your students?</t>
  </si>
  <si>
    <t>ملاحظة : يرجى الاجابة جيدا على الأسئلة تمهيدا لمناقشتها مع المشرف ، هدف الاسئلة هو تدريب المعلم على قراءة البيانات وتفسيرها ، وإيجاد نقاط التحسين .</t>
  </si>
  <si>
    <t>الخطط العلاجية سوف توضع بناء على نتائج المناقشة ، يرجى ذكر مجال التحسين (Area) كذكر الكتابة أو القواعد ، وتحديد الفصل الدراسي مع ذكر الأسباب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</si>
</sst>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\.d"/>
  </numFmts>
  <fonts count="20" x14ac:knownFonts="1">
    <font>
      <sz val="11"/>
      <color theme="1"/>
      <name val="Calibri"/>
      <scheme val="minor"/>
    </font>
    <font>
      <b/>
      <sz val="16"/>
      <color theme="1"/>
      <name val="Arial"/>
    </font>
    <font>
      <sz val="11"/>
      <name val="Calibri"/>
    </font>
    <font>
      <b/>
      <sz val="14"/>
      <color theme="1"/>
      <name val="Calibri"/>
    </font>
    <font>
      <b/>
      <sz val="14"/>
      <color theme="1"/>
      <name val="Arial"/>
    </font>
    <font>
      <sz val="14"/>
      <color theme="1"/>
      <name val="Calibri"/>
    </font>
    <font>
      <sz val="14"/>
      <color theme="1"/>
      <name val="Arial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b/>
      <sz val="11"/>
      <color rgb="FF1F497D"/>
      <name val="Arial"/>
    </font>
    <font>
      <sz val="11"/>
      <color rgb="FFFF0000"/>
      <name val="Arial"/>
    </font>
    <font>
      <sz val="16"/>
      <color rgb="FF000000"/>
      <name val="Arial"/>
    </font>
    <font>
      <sz val="16"/>
      <color theme="1"/>
      <name val="Arial"/>
    </font>
    <font>
      <sz val="11"/>
      <color theme="1"/>
      <name val="Arial"/>
    </font>
    <font>
      <sz val="14"/>
      <color rgb="FFFF0000"/>
      <name val="Trebuchet MS"/>
    </font>
    <font>
      <b/>
      <sz val="14"/>
      <color rgb="FFFF0000"/>
      <name val="Arial"/>
    </font>
    <font>
      <b/>
      <sz val="14"/>
      <color rgb="FF00B050"/>
      <name val="Trebuchet MS"/>
    </font>
    <font>
      <b/>
      <sz val="14"/>
      <color rgb="FFFF0066"/>
      <name val="Trebuchet MS"/>
    </font>
    <font>
      <sz val="16"/>
      <color rgb="FFFF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C5E0B3"/>
        <bgColor rgb="FFC5E0B3"/>
      </patternFill>
    </fill>
    <fill>
      <patternFill patternType="solid">
        <fgColor rgb="FFC6E0B4"/>
        <bgColor rgb="FFC6E0B4"/>
      </patternFill>
    </fill>
    <fill>
      <patternFill patternType="solid">
        <fgColor rgb="FFF2F2F2"/>
        <bgColor rgb="FFF2F2F2"/>
      </patternFill>
    </fill>
    <fill>
      <patternFill patternType="solid">
        <fgColor rgb="FFEEECE1"/>
        <bgColor rgb="FFEEECE1"/>
      </patternFill>
    </fill>
  </fills>
  <borders count="5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164" fontId="4" fillId="3" borderId="24" xfId="0" applyNumberFormat="1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5" fillId="3" borderId="25" xfId="0" applyFont="1" applyFill="1" applyBorder="1"/>
    <xf numFmtId="0" fontId="5" fillId="3" borderId="16" xfId="0" applyFont="1" applyFill="1" applyBorder="1"/>
    <xf numFmtId="164" fontId="5" fillId="3" borderId="16" xfId="0" applyNumberFormat="1" applyFont="1" applyFill="1" applyBorder="1"/>
    <xf numFmtId="0" fontId="5" fillId="3" borderId="2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 vertical="center"/>
    </xf>
    <xf numFmtId="164" fontId="4" fillId="3" borderId="16" xfId="0" applyNumberFormat="1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5" fillId="3" borderId="27" xfId="0" applyFont="1" applyFill="1" applyBorder="1"/>
    <xf numFmtId="0" fontId="6" fillId="3" borderId="16" xfId="0" applyFont="1" applyFill="1" applyBorder="1" applyAlignment="1">
      <alignment horizontal="center"/>
    </xf>
    <xf numFmtId="0" fontId="6" fillId="3" borderId="22" xfId="0" applyFont="1" applyFill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0" fontId="4" fillId="3" borderId="28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164" fontId="4" fillId="3" borderId="16" xfId="0" applyNumberFormat="1" applyFont="1" applyFill="1" applyBorder="1" applyAlignment="1">
      <alignment horizontal="center"/>
    </xf>
    <xf numFmtId="0" fontId="4" fillId="3" borderId="29" xfId="0" applyFont="1" applyFill="1" applyBorder="1" applyAlignment="1">
      <alignment horizontal="center"/>
    </xf>
    <xf numFmtId="0" fontId="1" fillId="3" borderId="37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9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9" fillId="0" borderId="41" xfId="0" applyFont="1" applyBorder="1" applyAlignment="1">
      <alignment wrapText="1"/>
    </xf>
    <xf numFmtId="0" fontId="9" fillId="0" borderId="42" xfId="0" applyFont="1" applyBorder="1" applyAlignment="1">
      <alignment wrapText="1"/>
    </xf>
    <xf numFmtId="0" fontId="11" fillId="0" borderId="43" xfId="0" applyFont="1" applyBorder="1" applyAlignment="1">
      <alignment horizontal="center" wrapText="1"/>
    </xf>
    <xf numFmtId="0" fontId="9" fillId="0" borderId="0" xfId="0" applyFont="1" applyAlignment="1">
      <alignment vertical="top" wrapText="1"/>
    </xf>
    <xf numFmtId="0" fontId="9" fillId="0" borderId="41" xfId="0" applyFont="1" applyBorder="1" applyAlignment="1">
      <alignment vertical="top" wrapText="1"/>
    </xf>
    <xf numFmtId="0" fontId="13" fillId="5" borderId="44" xfId="0" applyFont="1" applyFill="1" applyBorder="1" applyAlignment="1">
      <alignment horizontal="center" vertical="top" wrapText="1"/>
    </xf>
    <xf numFmtId="0" fontId="1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2" xfId="0" applyFont="1" applyBorder="1"/>
    <xf numFmtId="0" fontId="1" fillId="2" borderId="2" xfId="0" applyFont="1" applyFill="1" applyBorder="1" applyAlignment="1">
      <alignment horizontal="center" vertical="center"/>
    </xf>
    <xf numFmtId="0" fontId="2" fillId="0" borderId="13" xfId="0" applyFont="1" applyBorder="1"/>
    <xf numFmtId="0" fontId="1" fillId="3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1" fillId="3" borderId="9" xfId="0" applyFont="1" applyFill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0" fontId="1" fillId="2" borderId="31" xfId="0" applyFont="1" applyFill="1" applyBorder="1" applyAlignment="1">
      <alignment horizontal="center" vertical="center"/>
    </xf>
    <xf numFmtId="0" fontId="2" fillId="0" borderId="36" xfId="0" applyFont="1" applyBorder="1"/>
    <xf numFmtId="0" fontId="1" fillId="3" borderId="32" xfId="0" applyFont="1" applyFill="1" applyBorder="1" applyAlignment="1">
      <alignment horizontal="center" vertical="center"/>
    </xf>
    <xf numFmtId="0" fontId="2" fillId="0" borderId="33" xfId="0" applyFont="1" applyBorder="1"/>
    <xf numFmtId="0" fontId="2" fillId="0" borderId="34" xfId="0" applyFont="1" applyBorder="1"/>
    <xf numFmtId="0" fontId="1" fillId="3" borderId="35" xfId="0" applyFont="1" applyFill="1" applyBorder="1" applyAlignment="1">
      <alignment horizontal="center" vertical="center" wrapText="1"/>
    </xf>
    <xf numFmtId="0" fontId="2" fillId="0" borderId="38" xfId="0" applyFont="1" applyBorder="1"/>
    <xf numFmtId="0" fontId="14" fillId="5" borderId="7" xfId="0" applyFont="1" applyFill="1" applyBorder="1" applyAlignment="1">
      <alignment horizontal="center" vertical="center" wrapText="1"/>
    </xf>
    <xf numFmtId="0" fontId="2" fillId="0" borderId="48" xfId="0" applyFont="1" applyBorder="1"/>
    <xf numFmtId="0" fontId="2" fillId="0" borderId="53" xfId="0" applyFont="1" applyBorder="1"/>
    <xf numFmtId="0" fontId="13" fillId="6" borderId="45" xfId="0" applyFont="1" applyFill="1" applyBorder="1" applyAlignment="1">
      <alignment vertical="top" wrapText="1"/>
    </xf>
    <xf numFmtId="0" fontId="2" fillId="0" borderId="46" xfId="0" applyFont="1" applyBorder="1"/>
    <xf numFmtId="0" fontId="2" fillId="0" borderId="47" xfId="0" applyFont="1" applyBorder="1"/>
    <xf numFmtId="0" fontId="17" fillId="0" borderId="49" xfId="0" applyFont="1" applyBorder="1" applyAlignment="1">
      <alignment vertical="center" wrapText="1"/>
    </xf>
    <xf numFmtId="0" fontId="2" fillId="0" borderId="50" xfId="0" applyFont="1" applyBorder="1"/>
    <xf numFmtId="0" fontId="2" fillId="0" borderId="51" xfId="0" applyFont="1" applyBorder="1"/>
    <xf numFmtId="0" fontId="2" fillId="0" borderId="52" xfId="0" applyFont="1" applyBorder="1"/>
    <xf numFmtId="0" fontId="0" fillId="0" borderId="0" xfId="0"/>
    <xf numFmtId="0" fontId="2" fillId="0" borderId="42" xfId="0" applyFont="1" applyBorder="1"/>
    <xf numFmtId="0" fontId="2" fillId="0" borderId="54" xfId="0" applyFont="1" applyBorder="1"/>
    <xf numFmtId="0" fontId="2" fillId="0" borderId="41" xfId="0" applyFont="1" applyBorder="1"/>
    <xf numFmtId="0" fontId="2" fillId="0" borderId="43" xfId="0" applyFont="1" applyBorder="1"/>
    <xf numFmtId="0" fontId="18" fillId="0" borderId="49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" fillId="5" borderId="45" xfId="0" applyFont="1" applyFill="1" applyBorder="1" applyAlignment="1">
      <alignment horizontal="center" wrapText="1"/>
    </xf>
    <xf numFmtId="0" fontId="15" fillId="0" borderId="49" xfId="0" applyFont="1" applyBorder="1" applyAlignment="1">
      <alignment vertical="center" wrapText="1"/>
    </xf>
    <xf numFmtId="0" fontId="16" fillId="0" borderId="49" xfId="0" applyFont="1" applyBorder="1" applyAlignment="1">
      <alignment vertical="center" wrapText="1"/>
    </xf>
    <xf numFmtId="0" fontId="1" fillId="3" borderId="1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3">
    <tableStyle name=" Follow Up 1st-style" pivot="0" count="3" xr9:uid="{00000000-0011-0000-FFFF-FFFF00000000}">
      <tableStyleElement type="headerRow" dxfId="13"/>
      <tableStyleElement type="firstRowStripe" dxfId="12"/>
      <tableStyleElement type="secondRowStripe" dxfId="11"/>
    </tableStyle>
    <tableStyle name=" Follow Up 1st-style 2" pivot="0" count="2" xr9:uid="{00000000-0011-0000-FFFF-FFFF01000000}">
      <tableStyleElement type="firstRowStripe" dxfId="10"/>
      <tableStyleElement type="secondRowStripe" dxfId="9"/>
    </tableStyle>
    <tableStyle name="Result2-style" pivot="0" count="2" xr9:uid="{00000000-0011-0000-FFFF-FFFF02000000}"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447675</xdr:colOff>
      <xdr:row>0</xdr:row>
      <xdr:rowOff>133350</xdr:rowOff>
    </xdr:from>
    <xdr:ext cx="7038975" cy="962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D2:G110">
  <tableColumns count="4">
    <tableColumn id="1" xr3:uid="{00000000-0010-0000-0000-000001000000}" name="Attendance (5)"/>
    <tableColumn id="2" xr3:uid="{00000000-0010-0000-0000-000002000000}" name="Participation"/>
    <tableColumn id="3" xr3:uid="{00000000-0010-0000-0000-000003000000}" name="Behavior"/>
    <tableColumn id="4" xr3:uid="{00000000-0010-0000-0000-000004000000}" name="Homework (5)"/>
  </tableColumns>
  <tableStyleInfo name=" Follow Up 1s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H2:CJ110" headerRowCount="0">
  <tableColumns count="81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  <tableColumn id="24" xr3:uid="{00000000-0010-0000-0100-000018000000}" name="Column24"/>
    <tableColumn id="25" xr3:uid="{00000000-0010-0000-0100-000019000000}" name="Column25"/>
    <tableColumn id="26" xr3:uid="{00000000-0010-0000-0100-00001A000000}" name="Column26"/>
    <tableColumn id="27" xr3:uid="{00000000-0010-0000-0100-00001B000000}" name="Column27"/>
    <tableColumn id="28" xr3:uid="{00000000-0010-0000-0100-00001C000000}" name="Column28"/>
    <tableColumn id="29" xr3:uid="{00000000-0010-0000-0100-00001D000000}" name="Column29"/>
    <tableColumn id="30" xr3:uid="{00000000-0010-0000-0100-00001E000000}" name="Column30"/>
    <tableColumn id="31" xr3:uid="{00000000-0010-0000-0100-00001F000000}" name="Column31"/>
    <tableColumn id="32" xr3:uid="{00000000-0010-0000-0100-000020000000}" name="Column32"/>
    <tableColumn id="33" xr3:uid="{00000000-0010-0000-0100-000021000000}" name="Column33"/>
    <tableColumn id="34" xr3:uid="{00000000-0010-0000-0100-000022000000}" name="Column34"/>
    <tableColumn id="35" xr3:uid="{00000000-0010-0000-0100-000023000000}" name="Column35"/>
    <tableColumn id="36" xr3:uid="{00000000-0010-0000-0100-000024000000}" name="Column36"/>
    <tableColumn id="37" xr3:uid="{00000000-0010-0000-0100-000025000000}" name="Column37"/>
    <tableColumn id="38" xr3:uid="{00000000-0010-0000-0100-000026000000}" name="Column38"/>
    <tableColumn id="39" xr3:uid="{00000000-0010-0000-0100-000027000000}" name="Column39"/>
    <tableColumn id="40" xr3:uid="{00000000-0010-0000-0100-000028000000}" name="Column40"/>
    <tableColumn id="41" xr3:uid="{00000000-0010-0000-0100-000029000000}" name="Column41"/>
    <tableColumn id="42" xr3:uid="{00000000-0010-0000-0100-00002A000000}" name="Column42"/>
    <tableColumn id="43" xr3:uid="{00000000-0010-0000-0100-00002B000000}" name="Column43"/>
    <tableColumn id="44" xr3:uid="{00000000-0010-0000-0100-00002C000000}" name="Column44"/>
    <tableColumn id="45" xr3:uid="{00000000-0010-0000-0100-00002D000000}" name="Column45"/>
    <tableColumn id="46" xr3:uid="{00000000-0010-0000-0100-00002E000000}" name="Column46"/>
    <tableColumn id="47" xr3:uid="{00000000-0010-0000-0100-00002F000000}" name="Column47"/>
    <tableColumn id="48" xr3:uid="{00000000-0010-0000-0100-000030000000}" name="Column48"/>
    <tableColumn id="49" xr3:uid="{00000000-0010-0000-0100-000031000000}" name="Column49"/>
    <tableColumn id="50" xr3:uid="{00000000-0010-0000-0100-000032000000}" name="Column50"/>
    <tableColumn id="51" xr3:uid="{00000000-0010-0000-0100-000033000000}" name="Column51"/>
    <tableColumn id="52" xr3:uid="{00000000-0010-0000-0100-000034000000}" name="Column52"/>
    <tableColumn id="53" xr3:uid="{00000000-0010-0000-0100-000035000000}" name="Column53"/>
    <tableColumn id="54" xr3:uid="{00000000-0010-0000-0100-000036000000}" name="Column54"/>
    <tableColumn id="55" xr3:uid="{00000000-0010-0000-0100-000037000000}" name="Column55"/>
    <tableColumn id="56" xr3:uid="{00000000-0010-0000-0100-000038000000}" name="Column56"/>
    <tableColumn id="57" xr3:uid="{00000000-0010-0000-0100-000039000000}" name="Column57"/>
    <tableColumn id="58" xr3:uid="{00000000-0010-0000-0100-00003A000000}" name="Column58"/>
    <tableColumn id="59" xr3:uid="{00000000-0010-0000-0100-00003B000000}" name="Column59"/>
    <tableColumn id="60" xr3:uid="{00000000-0010-0000-0100-00003C000000}" name="Column60"/>
    <tableColumn id="61" xr3:uid="{00000000-0010-0000-0100-00003D000000}" name="Column61"/>
    <tableColumn id="62" xr3:uid="{00000000-0010-0000-0100-00003E000000}" name="Column62"/>
    <tableColumn id="63" xr3:uid="{00000000-0010-0000-0100-00003F000000}" name="Column63"/>
    <tableColumn id="64" xr3:uid="{00000000-0010-0000-0100-000040000000}" name="Column64"/>
    <tableColumn id="65" xr3:uid="{00000000-0010-0000-0100-000041000000}" name="Column65"/>
    <tableColumn id="66" xr3:uid="{00000000-0010-0000-0100-000042000000}" name="Column66"/>
    <tableColumn id="67" xr3:uid="{00000000-0010-0000-0100-000043000000}" name="Column67"/>
    <tableColumn id="68" xr3:uid="{00000000-0010-0000-0100-000044000000}" name="Column68"/>
    <tableColumn id="69" xr3:uid="{00000000-0010-0000-0100-000045000000}" name="Column69"/>
    <tableColumn id="70" xr3:uid="{00000000-0010-0000-0100-000046000000}" name="Column70"/>
    <tableColumn id="71" xr3:uid="{00000000-0010-0000-0100-000047000000}" name="Column71"/>
    <tableColumn id="72" xr3:uid="{00000000-0010-0000-0100-000048000000}" name="Column72"/>
    <tableColumn id="73" xr3:uid="{00000000-0010-0000-0100-000049000000}" name="Column73"/>
    <tableColumn id="74" xr3:uid="{00000000-0010-0000-0100-00004A000000}" name="Column74"/>
    <tableColumn id="75" xr3:uid="{00000000-0010-0000-0100-00004B000000}" name="Column75"/>
    <tableColumn id="76" xr3:uid="{00000000-0010-0000-0100-00004C000000}" name="Column76"/>
    <tableColumn id="77" xr3:uid="{00000000-0010-0000-0100-00004D000000}" name="Column77"/>
    <tableColumn id="78" xr3:uid="{00000000-0010-0000-0100-00004E000000}" name="Column78"/>
    <tableColumn id="79" xr3:uid="{00000000-0010-0000-0100-00004F000000}" name="Column79"/>
    <tableColumn id="80" xr3:uid="{00000000-0010-0000-0100-000050000000}" name="Column80"/>
    <tableColumn id="81" xr3:uid="{00000000-0010-0000-0100-000051000000}" name="Column81"/>
  </tableColumns>
  <tableStyleInfo name=" Follow Up 1st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D2:M110" headerRowCount="0">
  <tableColumns count="10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</tableColumns>
  <tableStyleInfo name="Result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110"/>
  <sheetViews>
    <sheetView workbookViewId="0">
      <pane xSplit="3" ySplit="2" topLeftCell="BZ3" activePane="bottomRight" state="frozen"/>
      <selection pane="topRight" activeCell="D1" sqref="D1"/>
      <selection pane="bottomLeft" activeCell="A3" sqref="A3"/>
      <selection pane="bottomRight" activeCell="CB108" sqref="CB108"/>
    </sheetView>
  </sheetViews>
  <sheetFormatPr defaultColWidth="14.3984375" defaultRowHeight="15" customHeight="1" x14ac:dyDescent="0.45"/>
  <cols>
    <col min="1" max="1" width="11.3984375" customWidth="1"/>
    <col min="2" max="2" width="66.53125" customWidth="1"/>
    <col min="3" max="3" width="13.73046875" customWidth="1"/>
    <col min="4" max="4" width="19.1328125" customWidth="1"/>
    <col min="5" max="5" width="20" customWidth="1"/>
    <col min="7" max="7" width="19" customWidth="1"/>
    <col min="8" max="8" width="19.3984375" customWidth="1"/>
    <col min="9" max="9" width="20" customWidth="1"/>
    <col min="10" max="10" width="14.73046875" customWidth="1"/>
    <col min="11" max="11" width="19" customWidth="1"/>
    <col min="12" max="12" width="19.1328125" customWidth="1"/>
    <col min="13" max="13" width="20" customWidth="1"/>
    <col min="14" max="14" width="14.73046875" customWidth="1"/>
    <col min="15" max="15" width="18.1328125" customWidth="1"/>
    <col min="16" max="16" width="17.86328125" customWidth="1"/>
    <col min="17" max="17" width="20" customWidth="1"/>
    <col min="18" max="18" width="14.73046875" customWidth="1"/>
    <col min="19" max="19" width="17.1328125" customWidth="1"/>
    <col min="20" max="20" width="17.86328125" customWidth="1"/>
    <col min="21" max="21" width="20" customWidth="1"/>
    <col min="22" max="22" width="14.73046875" customWidth="1"/>
    <col min="23" max="23" width="17.1328125" customWidth="1"/>
    <col min="24" max="24" width="17.86328125" customWidth="1"/>
    <col min="25" max="25" width="20" customWidth="1"/>
    <col min="26" max="26" width="14.73046875" customWidth="1"/>
    <col min="27" max="27" width="17.1328125" customWidth="1"/>
    <col min="28" max="28" width="17.86328125" customWidth="1"/>
    <col min="29" max="29" width="20" customWidth="1"/>
    <col min="30" max="30" width="14.73046875" customWidth="1"/>
    <col min="31" max="31" width="17.1328125" customWidth="1"/>
    <col min="32" max="32" width="17.86328125" customWidth="1"/>
    <col min="33" max="33" width="20" customWidth="1"/>
    <col min="34" max="34" width="14.73046875" customWidth="1"/>
    <col min="35" max="35" width="17.1328125" customWidth="1"/>
    <col min="36" max="36" width="17.86328125" customWidth="1"/>
    <col min="37" max="37" width="20" customWidth="1"/>
    <col min="38" max="38" width="14.73046875" customWidth="1"/>
    <col min="39" max="39" width="17.1328125" customWidth="1"/>
    <col min="40" max="40" width="17.86328125" customWidth="1"/>
    <col min="41" max="41" width="20" customWidth="1"/>
    <col min="42" max="42" width="14.73046875" customWidth="1"/>
    <col min="43" max="43" width="17.1328125" customWidth="1"/>
    <col min="44" max="44" width="17.86328125" customWidth="1"/>
    <col min="45" max="45" width="20" customWidth="1"/>
    <col min="46" max="46" width="14.73046875" customWidth="1"/>
    <col min="47" max="47" width="17.1328125" customWidth="1"/>
    <col min="48" max="48" width="17.86328125" customWidth="1"/>
    <col min="49" max="49" width="20" customWidth="1"/>
    <col min="50" max="50" width="14.73046875" customWidth="1"/>
    <col min="51" max="51" width="17.1328125" customWidth="1"/>
    <col min="52" max="52" width="17.86328125" customWidth="1"/>
    <col min="53" max="53" width="20" customWidth="1"/>
    <col min="54" max="54" width="14.73046875" customWidth="1"/>
    <col min="55" max="55" width="17.1328125" customWidth="1"/>
    <col min="56" max="56" width="17.86328125" customWidth="1"/>
    <col min="57" max="57" width="20" customWidth="1"/>
    <col min="58" max="58" width="14.73046875" customWidth="1"/>
    <col min="59" max="59" width="17.1328125" customWidth="1"/>
    <col min="60" max="60" width="17.86328125" customWidth="1"/>
    <col min="61" max="61" width="20" customWidth="1"/>
    <col min="62" max="62" width="14.73046875" customWidth="1"/>
    <col min="63" max="63" width="17.1328125" customWidth="1"/>
    <col min="64" max="64" width="17.86328125" customWidth="1"/>
    <col min="65" max="65" width="20" customWidth="1"/>
    <col min="66" max="66" width="14.73046875" customWidth="1"/>
    <col min="67" max="67" width="17.1328125" customWidth="1"/>
    <col min="68" max="68" width="17.86328125" customWidth="1"/>
    <col min="69" max="69" width="20" customWidth="1"/>
    <col min="70" max="70" width="14.73046875" customWidth="1"/>
    <col min="71" max="71" width="17.1328125" customWidth="1"/>
    <col min="72" max="72" width="17.86328125" customWidth="1"/>
    <col min="73" max="73" width="20" customWidth="1"/>
    <col min="74" max="74" width="14.73046875" customWidth="1"/>
    <col min="75" max="75" width="17.1328125" customWidth="1"/>
    <col min="76" max="76" width="17.86328125" customWidth="1"/>
    <col min="77" max="77" width="20" customWidth="1"/>
    <col min="78" max="78" width="14.73046875" customWidth="1"/>
    <col min="79" max="84" width="17.1328125" customWidth="1"/>
    <col min="85" max="85" width="18.265625" customWidth="1"/>
    <col min="86" max="86" width="20" customWidth="1"/>
    <col min="87" max="87" width="14.73046875" customWidth="1"/>
    <col min="88" max="88" width="17.1328125" customWidth="1"/>
    <col min="89" max="91" width="17.86328125" customWidth="1"/>
  </cols>
  <sheetData>
    <row r="1" spans="1:91" ht="39" customHeight="1" x14ac:dyDescent="0.45">
      <c r="A1" s="61" t="s">
        <v>0</v>
      </c>
      <c r="B1" s="63" t="s">
        <v>1</v>
      </c>
      <c r="C1" s="63" t="s">
        <v>2</v>
      </c>
      <c r="D1" s="65" t="s">
        <v>3</v>
      </c>
      <c r="E1" s="66"/>
      <c r="F1" s="66"/>
      <c r="G1" s="67"/>
      <c r="H1" s="65" t="s">
        <v>4</v>
      </c>
      <c r="I1" s="66"/>
      <c r="J1" s="66"/>
      <c r="K1" s="67"/>
      <c r="L1" s="65" t="s">
        <v>5</v>
      </c>
      <c r="M1" s="66"/>
      <c r="N1" s="66"/>
      <c r="O1" s="67"/>
      <c r="P1" s="65" t="s">
        <v>6</v>
      </c>
      <c r="Q1" s="66"/>
      <c r="R1" s="66"/>
      <c r="S1" s="67"/>
      <c r="T1" s="65" t="s">
        <v>7</v>
      </c>
      <c r="U1" s="66"/>
      <c r="V1" s="66"/>
      <c r="W1" s="67"/>
      <c r="X1" s="65" t="s">
        <v>8</v>
      </c>
      <c r="Y1" s="66"/>
      <c r="Z1" s="66"/>
      <c r="AA1" s="67"/>
      <c r="AB1" s="65" t="s">
        <v>9</v>
      </c>
      <c r="AC1" s="66"/>
      <c r="AD1" s="66"/>
      <c r="AE1" s="67"/>
      <c r="AF1" s="65" t="s">
        <v>10</v>
      </c>
      <c r="AG1" s="66"/>
      <c r="AH1" s="66"/>
      <c r="AI1" s="67"/>
      <c r="AJ1" s="65" t="s">
        <v>11</v>
      </c>
      <c r="AK1" s="66"/>
      <c r="AL1" s="66"/>
      <c r="AM1" s="67"/>
      <c r="AN1" s="65" t="s">
        <v>12</v>
      </c>
      <c r="AO1" s="66"/>
      <c r="AP1" s="66"/>
      <c r="AQ1" s="67"/>
      <c r="AR1" s="65" t="s">
        <v>13</v>
      </c>
      <c r="AS1" s="66"/>
      <c r="AT1" s="66"/>
      <c r="AU1" s="67"/>
      <c r="AV1" s="65" t="s">
        <v>14</v>
      </c>
      <c r="AW1" s="66"/>
      <c r="AX1" s="66"/>
      <c r="AY1" s="67"/>
      <c r="AZ1" s="65" t="s">
        <v>15</v>
      </c>
      <c r="BA1" s="66"/>
      <c r="BB1" s="66"/>
      <c r="BC1" s="67"/>
      <c r="BD1" s="65" t="s">
        <v>16</v>
      </c>
      <c r="BE1" s="66"/>
      <c r="BF1" s="66"/>
      <c r="BG1" s="67"/>
      <c r="BH1" s="65" t="s">
        <v>17</v>
      </c>
      <c r="BI1" s="66"/>
      <c r="BJ1" s="66"/>
      <c r="BK1" s="67"/>
      <c r="BL1" s="65" t="s">
        <v>18</v>
      </c>
      <c r="BM1" s="66"/>
      <c r="BN1" s="66"/>
      <c r="BO1" s="67"/>
      <c r="BP1" s="65" t="s">
        <v>19</v>
      </c>
      <c r="BQ1" s="66"/>
      <c r="BR1" s="66"/>
      <c r="BS1" s="67"/>
      <c r="BT1" s="65" t="s">
        <v>20</v>
      </c>
      <c r="BU1" s="66"/>
      <c r="BV1" s="66"/>
      <c r="BW1" s="67"/>
      <c r="BX1" s="65" t="s">
        <v>21</v>
      </c>
      <c r="BY1" s="66"/>
      <c r="BZ1" s="66"/>
      <c r="CA1" s="68"/>
      <c r="CB1" s="1" t="s">
        <v>22</v>
      </c>
      <c r="CC1" s="2" t="s">
        <v>23</v>
      </c>
      <c r="CD1" s="3" t="s">
        <v>24</v>
      </c>
      <c r="CE1" s="3" t="s">
        <v>25</v>
      </c>
      <c r="CF1" s="3" t="s">
        <v>26</v>
      </c>
      <c r="CG1" s="69" t="s">
        <v>27</v>
      </c>
      <c r="CH1" s="70"/>
      <c r="CI1" s="70"/>
      <c r="CJ1" s="70"/>
      <c r="CK1" s="70"/>
      <c r="CL1" s="70"/>
      <c r="CM1" s="71"/>
    </row>
    <row r="2" spans="1:91" ht="49.5" customHeight="1" x14ac:dyDescent="0.45">
      <c r="A2" s="62"/>
      <c r="B2" s="64"/>
      <c r="C2" s="64"/>
      <c r="D2" s="4" t="s">
        <v>28</v>
      </c>
      <c r="E2" s="4" t="s">
        <v>29</v>
      </c>
      <c r="F2" s="4" t="s">
        <v>30</v>
      </c>
      <c r="G2" s="5" t="s">
        <v>31</v>
      </c>
      <c r="H2" s="4" t="s">
        <v>28</v>
      </c>
      <c r="I2" s="4" t="s">
        <v>29</v>
      </c>
      <c r="J2" s="4" t="s">
        <v>30</v>
      </c>
      <c r="K2" s="5" t="s">
        <v>31</v>
      </c>
      <c r="L2" s="4" t="s">
        <v>28</v>
      </c>
      <c r="M2" s="4" t="s">
        <v>29</v>
      </c>
      <c r="N2" s="4" t="s">
        <v>30</v>
      </c>
      <c r="O2" s="5" t="s">
        <v>31</v>
      </c>
      <c r="P2" s="4" t="s">
        <v>28</v>
      </c>
      <c r="Q2" s="4" t="s">
        <v>29</v>
      </c>
      <c r="R2" s="4" t="s">
        <v>30</v>
      </c>
      <c r="S2" s="5" t="s">
        <v>31</v>
      </c>
      <c r="T2" s="4" t="s">
        <v>28</v>
      </c>
      <c r="U2" s="4" t="s">
        <v>29</v>
      </c>
      <c r="V2" s="4" t="s">
        <v>30</v>
      </c>
      <c r="W2" s="5" t="s">
        <v>31</v>
      </c>
      <c r="X2" s="4" t="s">
        <v>28</v>
      </c>
      <c r="Y2" s="4" t="s">
        <v>29</v>
      </c>
      <c r="Z2" s="4" t="s">
        <v>30</v>
      </c>
      <c r="AA2" s="5" t="s">
        <v>31</v>
      </c>
      <c r="AB2" s="4" t="s">
        <v>28</v>
      </c>
      <c r="AC2" s="4" t="s">
        <v>29</v>
      </c>
      <c r="AD2" s="4" t="s">
        <v>30</v>
      </c>
      <c r="AE2" s="5" t="s">
        <v>31</v>
      </c>
      <c r="AF2" s="4" t="s">
        <v>28</v>
      </c>
      <c r="AG2" s="4" t="s">
        <v>29</v>
      </c>
      <c r="AH2" s="4" t="s">
        <v>30</v>
      </c>
      <c r="AI2" s="5" t="s">
        <v>31</v>
      </c>
      <c r="AJ2" s="4" t="s">
        <v>28</v>
      </c>
      <c r="AK2" s="4" t="s">
        <v>29</v>
      </c>
      <c r="AL2" s="4" t="s">
        <v>30</v>
      </c>
      <c r="AM2" s="5" t="s">
        <v>31</v>
      </c>
      <c r="AN2" s="4" t="s">
        <v>28</v>
      </c>
      <c r="AO2" s="4" t="s">
        <v>29</v>
      </c>
      <c r="AP2" s="4" t="s">
        <v>30</v>
      </c>
      <c r="AQ2" s="5" t="s">
        <v>31</v>
      </c>
      <c r="AR2" s="4" t="s">
        <v>28</v>
      </c>
      <c r="AS2" s="4" t="s">
        <v>29</v>
      </c>
      <c r="AT2" s="4" t="s">
        <v>30</v>
      </c>
      <c r="AU2" s="5" t="s">
        <v>31</v>
      </c>
      <c r="AV2" s="4" t="s">
        <v>28</v>
      </c>
      <c r="AW2" s="4" t="s">
        <v>29</v>
      </c>
      <c r="AX2" s="4" t="s">
        <v>30</v>
      </c>
      <c r="AY2" s="5" t="s">
        <v>31</v>
      </c>
      <c r="AZ2" s="4" t="s">
        <v>28</v>
      </c>
      <c r="BA2" s="4" t="s">
        <v>29</v>
      </c>
      <c r="BB2" s="4" t="s">
        <v>30</v>
      </c>
      <c r="BC2" s="5" t="s">
        <v>31</v>
      </c>
      <c r="BD2" s="4" t="s">
        <v>28</v>
      </c>
      <c r="BE2" s="4" t="s">
        <v>29</v>
      </c>
      <c r="BF2" s="4" t="s">
        <v>30</v>
      </c>
      <c r="BG2" s="5" t="s">
        <v>31</v>
      </c>
      <c r="BH2" s="4" t="s">
        <v>28</v>
      </c>
      <c r="BI2" s="4" t="s">
        <v>29</v>
      </c>
      <c r="BJ2" s="4" t="s">
        <v>30</v>
      </c>
      <c r="BK2" s="5" t="s">
        <v>31</v>
      </c>
      <c r="BL2" s="4" t="s">
        <v>28</v>
      </c>
      <c r="BM2" s="4" t="s">
        <v>29</v>
      </c>
      <c r="BN2" s="4" t="s">
        <v>30</v>
      </c>
      <c r="BO2" s="5" t="s">
        <v>31</v>
      </c>
      <c r="BP2" s="4" t="s">
        <v>28</v>
      </c>
      <c r="BQ2" s="4" t="s">
        <v>29</v>
      </c>
      <c r="BR2" s="4" t="s">
        <v>30</v>
      </c>
      <c r="BS2" s="5" t="s">
        <v>31</v>
      </c>
      <c r="BT2" s="4" t="s">
        <v>28</v>
      </c>
      <c r="BU2" s="4" t="s">
        <v>29</v>
      </c>
      <c r="BV2" s="4" t="s">
        <v>30</v>
      </c>
      <c r="BW2" s="5" t="s">
        <v>31</v>
      </c>
      <c r="BX2" s="4" t="s">
        <v>28</v>
      </c>
      <c r="BY2" s="4" t="s">
        <v>29</v>
      </c>
      <c r="BZ2" s="4" t="s">
        <v>30</v>
      </c>
      <c r="CA2" s="6" t="s">
        <v>31</v>
      </c>
      <c r="CB2" s="7">
        <v>5</v>
      </c>
      <c r="CC2" s="7">
        <v>5</v>
      </c>
      <c r="CD2" s="8" t="s">
        <v>32</v>
      </c>
      <c r="CE2" s="8" t="s">
        <v>33</v>
      </c>
      <c r="CF2" s="7">
        <v>5</v>
      </c>
      <c r="CG2" s="9" t="s">
        <v>28</v>
      </c>
      <c r="CH2" s="4" t="s">
        <v>29</v>
      </c>
      <c r="CI2" s="4" t="s">
        <v>30</v>
      </c>
      <c r="CJ2" s="5" t="s">
        <v>31</v>
      </c>
      <c r="CK2" s="4" t="s">
        <v>34</v>
      </c>
      <c r="CL2" s="4" t="s">
        <v>35</v>
      </c>
      <c r="CM2" s="4" t="s">
        <v>36</v>
      </c>
    </row>
    <row r="3" spans="1:91" ht="18.75" customHeight="1" x14ac:dyDescent="0.55000000000000004">
      <c r="A3" s="10">
        <v>1</v>
      </c>
      <c r="B3" s="11" t="s">
        <v>37</v>
      </c>
      <c r="C3" s="11" t="s">
        <v>38</v>
      </c>
      <c r="D3" s="12">
        <v>5</v>
      </c>
      <c r="E3" s="12">
        <v>5</v>
      </c>
      <c r="F3" s="12">
        <v>5</v>
      </c>
      <c r="G3" s="13">
        <v>5</v>
      </c>
      <c r="H3" s="13">
        <v>5</v>
      </c>
      <c r="I3" s="13">
        <v>5</v>
      </c>
      <c r="J3" s="13">
        <v>5</v>
      </c>
      <c r="K3" s="13">
        <v>5</v>
      </c>
      <c r="L3" s="13">
        <v>5</v>
      </c>
      <c r="M3" s="13">
        <v>5</v>
      </c>
      <c r="N3" s="13">
        <v>5</v>
      </c>
      <c r="O3" s="13">
        <v>5</v>
      </c>
      <c r="P3" s="12">
        <v>5</v>
      </c>
      <c r="Q3" s="12">
        <v>5</v>
      </c>
      <c r="R3" s="12">
        <v>5</v>
      </c>
      <c r="S3" s="13">
        <v>5</v>
      </c>
      <c r="T3" s="14">
        <v>5</v>
      </c>
      <c r="U3" s="14">
        <v>5</v>
      </c>
      <c r="V3" s="14">
        <v>5</v>
      </c>
      <c r="W3" s="14">
        <v>5</v>
      </c>
      <c r="X3" s="15">
        <v>5</v>
      </c>
      <c r="Y3" s="15">
        <v>5</v>
      </c>
      <c r="Z3" s="15">
        <v>5</v>
      </c>
      <c r="AA3" s="15">
        <v>5</v>
      </c>
      <c r="AB3" s="15">
        <v>5</v>
      </c>
      <c r="AC3" s="15">
        <v>5</v>
      </c>
      <c r="AD3" s="15">
        <v>5</v>
      </c>
      <c r="AE3" s="15">
        <v>5</v>
      </c>
      <c r="AF3" s="15">
        <v>5</v>
      </c>
      <c r="AG3" s="15">
        <v>5</v>
      </c>
      <c r="AH3" s="15">
        <v>5</v>
      </c>
      <c r="AI3" s="15">
        <v>5</v>
      </c>
      <c r="AJ3" s="15">
        <v>5</v>
      </c>
      <c r="AK3" s="15">
        <v>5</v>
      </c>
      <c r="AL3" s="15">
        <v>5</v>
      </c>
      <c r="AM3" s="15">
        <v>5</v>
      </c>
      <c r="AN3" s="15">
        <v>5</v>
      </c>
      <c r="AO3" s="15">
        <v>5</v>
      </c>
      <c r="AP3" s="15">
        <v>5</v>
      </c>
      <c r="AQ3" s="15">
        <v>5</v>
      </c>
      <c r="AR3" s="15">
        <v>5</v>
      </c>
      <c r="AS3" s="15">
        <v>5</v>
      </c>
      <c r="AT3" s="15">
        <v>5</v>
      </c>
      <c r="AU3" s="15">
        <v>5</v>
      </c>
      <c r="AV3" s="15"/>
      <c r="AW3" s="15"/>
      <c r="AX3" s="15"/>
      <c r="AY3" s="16"/>
      <c r="AZ3" s="15"/>
      <c r="BA3" s="15"/>
      <c r="BB3" s="15"/>
      <c r="BC3" s="16"/>
      <c r="BD3" s="15"/>
      <c r="BE3" s="15"/>
      <c r="BF3" s="15"/>
      <c r="BG3" s="16"/>
      <c r="BH3" s="15"/>
      <c r="BI3" s="15"/>
      <c r="BJ3" s="15"/>
      <c r="BK3" s="16"/>
      <c r="BL3" s="15"/>
      <c r="BM3" s="15"/>
      <c r="BN3" s="15"/>
      <c r="BO3" s="16"/>
      <c r="BP3" s="15"/>
      <c r="BQ3" s="15"/>
      <c r="BR3" s="15"/>
      <c r="BS3" s="16"/>
      <c r="BT3" s="15"/>
      <c r="BU3" s="15"/>
      <c r="BV3" s="15"/>
      <c r="BW3" s="16"/>
      <c r="BX3" s="15"/>
      <c r="BY3" s="15"/>
      <c r="BZ3" s="15"/>
      <c r="CA3" s="17"/>
      <c r="CB3" s="18">
        <v>45693</v>
      </c>
      <c r="CC3" s="19"/>
      <c r="CD3" s="19">
        <v>5</v>
      </c>
      <c r="CE3" s="19"/>
      <c r="CF3" s="20">
        <v>5</v>
      </c>
      <c r="CG3" s="21">
        <f t="shared" ref="CG3:CJ3" si="0">AVERAGE(BX3,BT3,BP3,BL3,BH3,BD3,AZ3,AV3,AR3,AN3,AJ3,AF3,AB3,X3,T3,P3,L3,H3,D3)</f>
        <v>5</v>
      </c>
      <c r="CH3" s="22">
        <f t="shared" si="0"/>
        <v>5</v>
      </c>
      <c r="CI3" s="22">
        <f t="shared" si="0"/>
        <v>5</v>
      </c>
      <c r="CJ3" s="22">
        <f t="shared" si="0"/>
        <v>5</v>
      </c>
      <c r="CK3" s="23">
        <f>(' Follow Up 1st'!$CB3+' Follow Up 1st'!$CC3)/2</f>
        <v>22846.5</v>
      </c>
      <c r="CL3" s="22">
        <f>(' Follow Up 1st'!$CD3+' Follow Up 1st'!$CE3)/2</f>
        <v>2.5</v>
      </c>
      <c r="CM3" s="24">
        <v>5</v>
      </c>
    </row>
    <row r="4" spans="1:91" ht="18.75" customHeight="1" x14ac:dyDescent="0.55000000000000004">
      <c r="A4" s="10">
        <v>2</v>
      </c>
      <c r="B4" s="25" t="s">
        <v>39</v>
      </c>
      <c r="C4" s="25" t="s">
        <v>38</v>
      </c>
      <c r="D4" s="12">
        <v>5</v>
      </c>
      <c r="E4" s="12">
        <v>5</v>
      </c>
      <c r="F4" s="12">
        <v>5</v>
      </c>
      <c r="G4" s="13">
        <v>5</v>
      </c>
      <c r="H4" s="13">
        <v>5</v>
      </c>
      <c r="I4" s="13">
        <v>5</v>
      </c>
      <c r="J4" s="13">
        <v>5</v>
      </c>
      <c r="K4" s="13">
        <v>5</v>
      </c>
      <c r="L4" s="13">
        <v>5</v>
      </c>
      <c r="M4" s="13">
        <v>5</v>
      </c>
      <c r="N4" s="13">
        <v>5</v>
      </c>
      <c r="O4" s="13">
        <v>5</v>
      </c>
      <c r="P4" s="12">
        <v>5</v>
      </c>
      <c r="Q4" s="12">
        <v>5</v>
      </c>
      <c r="R4" s="12">
        <v>5</v>
      </c>
      <c r="S4" s="13">
        <v>5</v>
      </c>
      <c r="T4" s="14">
        <v>5</v>
      </c>
      <c r="U4" s="14">
        <v>5</v>
      </c>
      <c r="V4" s="14">
        <v>5</v>
      </c>
      <c r="W4" s="14">
        <v>5</v>
      </c>
      <c r="X4" s="15">
        <v>5</v>
      </c>
      <c r="Y4" s="15">
        <v>5</v>
      </c>
      <c r="Z4" s="15">
        <v>5</v>
      </c>
      <c r="AA4" s="15">
        <v>5</v>
      </c>
      <c r="AB4" s="15">
        <v>5</v>
      </c>
      <c r="AC4" s="15">
        <v>5</v>
      </c>
      <c r="AD4" s="15">
        <v>5</v>
      </c>
      <c r="AE4" s="15">
        <v>5</v>
      </c>
      <c r="AF4" s="15">
        <v>5</v>
      </c>
      <c r="AG4" s="15">
        <v>5</v>
      </c>
      <c r="AH4" s="15">
        <v>5</v>
      </c>
      <c r="AI4" s="15">
        <v>5</v>
      </c>
      <c r="AJ4" s="15">
        <v>5</v>
      </c>
      <c r="AK4" s="15">
        <v>5</v>
      </c>
      <c r="AL4" s="15">
        <v>5</v>
      </c>
      <c r="AM4" s="15">
        <v>5</v>
      </c>
      <c r="AN4" s="15">
        <v>5</v>
      </c>
      <c r="AO4" s="15">
        <v>5</v>
      </c>
      <c r="AP4" s="15">
        <v>5</v>
      </c>
      <c r="AQ4" s="15">
        <v>5</v>
      </c>
      <c r="AR4" s="15">
        <v>5</v>
      </c>
      <c r="AS4" s="15">
        <v>5</v>
      </c>
      <c r="AT4" s="15">
        <v>5</v>
      </c>
      <c r="AU4" s="15">
        <v>5</v>
      </c>
      <c r="AV4" s="15"/>
      <c r="AW4" s="15"/>
      <c r="AX4" s="15"/>
      <c r="AY4" s="16"/>
      <c r="AZ4" s="15"/>
      <c r="BA4" s="15"/>
      <c r="BB4" s="15"/>
      <c r="BC4" s="16"/>
      <c r="BD4" s="15"/>
      <c r="BE4" s="15"/>
      <c r="BF4" s="15"/>
      <c r="BG4" s="16"/>
      <c r="BH4" s="15"/>
      <c r="BI4" s="15"/>
      <c r="BJ4" s="15"/>
      <c r="BK4" s="16"/>
      <c r="BL4" s="15"/>
      <c r="BM4" s="15"/>
      <c r="BN4" s="15"/>
      <c r="BO4" s="16"/>
      <c r="BP4" s="15"/>
      <c r="BQ4" s="15"/>
      <c r="BR4" s="15"/>
      <c r="BS4" s="16"/>
      <c r="BT4" s="15"/>
      <c r="BU4" s="15"/>
      <c r="BV4" s="15"/>
      <c r="BW4" s="16"/>
      <c r="BX4" s="15"/>
      <c r="BY4" s="15"/>
      <c r="BZ4" s="15"/>
      <c r="CA4" s="17"/>
      <c r="CB4" s="19">
        <v>5</v>
      </c>
      <c r="CC4" s="19"/>
      <c r="CD4" s="18">
        <v>45843</v>
      </c>
      <c r="CE4" s="19"/>
      <c r="CF4" s="20">
        <v>5</v>
      </c>
      <c r="CG4" s="21">
        <f t="shared" ref="CG4:CJ4" si="1">AVERAGE(BX4,BT4,BP4,BL4,BH4,BD4,AZ4,AV4,AR4,AN4,AJ4,AF4,AB4,X4,T4,P4,L4,H4,D4)</f>
        <v>5</v>
      </c>
      <c r="CH4" s="22">
        <f t="shared" si="1"/>
        <v>5</v>
      </c>
      <c r="CI4" s="22">
        <f t="shared" si="1"/>
        <v>5</v>
      </c>
      <c r="CJ4" s="22">
        <f t="shared" si="1"/>
        <v>5</v>
      </c>
      <c r="CK4" s="22">
        <f>(' Follow Up 1st'!$CB4+' Follow Up 1st'!$CC4)/2</f>
        <v>2.5</v>
      </c>
      <c r="CL4" s="23">
        <f>(' Follow Up 1st'!$CD4+' Follow Up 1st'!$CE4)/2</f>
        <v>22921.5</v>
      </c>
      <c r="CM4" s="24">
        <v>5</v>
      </c>
    </row>
    <row r="5" spans="1:91" ht="18.75" customHeight="1" x14ac:dyDescent="0.55000000000000004">
      <c r="A5" s="10">
        <v>3</v>
      </c>
      <c r="B5" s="25" t="s">
        <v>40</v>
      </c>
      <c r="C5" s="25" t="s">
        <v>38</v>
      </c>
      <c r="D5" s="12">
        <v>5</v>
      </c>
      <c r="E5" s="12">
        <v>5</v>
      </c>
      <c r="F5" s="12">
        <v>5</v>
      </c>
      <c r="G5" s="13">
        <v>5</v>
      </c>
      <c r="H5" s="13">
        <v>5</v>
      </c>
      <c r="I5" s="13">
        <v>5</v>
      </c>
      <c r="J5" s="13">
        <v>5</v>
      </c>
      <c r="K5" s="13">
        <v>5</v>
      </c>
      <c r="L5" s="13">
        <v>5</v>
      </c>
      <c r="M5" s="13">
        <v>5</v>
      </c>
      <c r="N5" s="13">
        <v>5</v>
      </c>
      <c r="O5" s="13">
        <v>5</v>
      </c>
      <c r="P5" s="12">
        <v>5</v>
      </c>
      <c r="Q5" s="12">
        <v>5</v>
      </c>
      <c r="R5" s="12">
        <v>5</v>
      </c>
      <c r="S5" s="13">
        <v>5</v>
      </c>
      <c r="T5" s="14">
        <v>5</v>
      </c>
      <c r="U5" s="14">
        <v>5</v>
      </c>
      <c r="V5" s="14">
        <v>5</v>
      </c>
      <c r="W5" s="14">
        <v>5</v>
      </c>
      <c r="X5" s="15">
        <v>5</v>
      </c>
      <c r="Y5" s="15">
        <v>5</v>
      </c>
      <c r="Z5" s="15">
        <v>5</v>
      </c>
      <c r="AA5" s="15">
        <v>5</v>
      </c>
      <c r="AB5" s="15">
        <v>5</v>
      </c>
      <c r="AC5" s="15">
        <v>5</v>
      </c>
      <c r="AD5" s="15">
        <v>5</v>
      </c>
      <c r="AE5" s="15">
        <v>5</v>
      </c>
      <c r="AF5" s="15">
        <v>5</v>
      </c>
      <c r="AG5" s="15">
        <v>5</v>
      </c>
      <c r="AH5" s="15">
        <v>5</v>
      </c>
      <c r="AI5" s="15">
        <v>5</v>
      </c>
      <c r="AJ5" s="15">
        <v>5</v>
      </c>
      <c r="AK5" s="15">
        <v>5</v>
      </c>
      <c r="AL5" s="15">
        <v>5</v>
      </c>
      <c r="AM5" s="15">
        <v>5</v>
      </c>
      <c r="AN5" s="15">
        <v>5</v>
      </c>
      <c r="AO5" s="15">
        <v>5</v>
      </c>
      <c r="AP5" s="15">
        <v>5</v>
      </c>
      <c r="AQ5" s="15">
        <v>5</v>
      </c>
      <c r="AR5" s="15">
        <v>5</v>
      </c>
      <c r="AS5" s="15">
        <v>5</v>
      </c>
      <c r="AT5" s="15">
        <v>5</v>
      </c>
      <c r="AU5" s="15">
        <v>5</v>
      </c>
      <c r="AV5" s="15"/>
      <c r="AW5" s="15"/>
      <c r="AX5" s="15"/>
      <c r="AY5" s="16"/>
      <c r="AZ5" s="15"/>
      <c r="BA5" s="15"/>
      <c r="BB5" s="15"/>
      <c r="BC5" s="16"/>
      <c r="BD5" s="15"/>
      <c r="BE5" s="15"/>
      <c r="BF5" s="15"/>
      <c r="BG5" s="16"/>
      <c r="BH5" s="15"/>
      <c r="BI5" s="15"/>
      <c r="BJ5" s="15"/>
      <c r="BK5" s="16"/>
      <c r="BL5" s="15"/>
      <c r="BM5" s="15"/>
      <c r="BN5" s="15"/>
      <c r="BO5" s="16"/>
      <c r="BP5" s="15"/>
      <c r="BQ5" s="15"/>
      <c r="BR5" s="15"/>
      <c r="BS5" s="16"/>
      <c r="BT5" s="15"/>
      <c r="BU5" s="15"/>
      <c r="BV5" s="15"/>
      <c r="BW5" s="16"/>
      <c r="BX5" s="15"/>
      <c r="BY5" s="15"/>
      <c r="BZ5" s="15"/>
      <c r="CA5" s="17"/>
      <c r="CB5" s="19">
        <v>5</v>
      </c>
      <c r="CC5" s="19"/>
      <c r="CD5" s="18">
        <v>45813</v>
      </c>
      <c r="CE5" s="19"/>
      <c r="CF5" s="20">
        <v>5</v>
      </c>
      <c r="CG5" s="21">
        <f t="shared" ref="CG5:CJ5" si="2">AVERAGE(BX5,BT5,BP5,BL5,BH5,BD5,AZ5,AV5,AR5,AN5,AJ5,AF5,AB5,X5,T5,P5,L5,H5,D5)</f>
        <v>5</v>
      </c>
      <c r="CH5" s="22">
        <f t="shared" si="2"/>
        <v>5</v>
      </c>
      <c r="CI5" s="22">
        <f t="shared" si="2"/>
        <v>5</v>
      </c>
      <c r="CJ5" s="22">
        <f t="shared" si="2"/>
        <v>5</v>
      </c>
      <c r="CK5" s="22">
        <f>(' Follow Up 1st'!$CB5+' Follow Up 1st'!$CC5)/2</f>
        <v>2.5</v>
      </c>
      <c r="CL5" s="23">
        <f>(' Follow Up 1st'!$CD5+' Follow Up 1st'!$CE5)/2</f>
        <v>22906.5</v>
      </c>
      <c r="CM5" s="24">
        <v>5</v>
      </c>
    </row>
    <row r="6" spans="1:91" ht="18.75" customHeight="1" x14ac:dyDescent="0.55000000000000004">
      <c r="A6" s="10">
        <v>4</v>
      </c>
      <c r="B6" s="25" t="s">
        <v>41</v>
      </c>
      <c r="C6" s="25" t="s">
        <v>38</v>
      </c>
      <c r="D6" s="12">
        <v>5</v>
      </c>
      <c r="E6" s="12">
        <v>5</v>
      </c>
      <c r="F6" s="12">
        <v>5</v>
      </c>
      <c r="G6" s="13">
        <v>5</v>
      </c>
      <c r="H6" s="13">
        <v>5</v>
      </c>
      <c r="I6" s="13">
        <v>5</v>
      </c>
      <c r="J6" s="13">
        <v>5</v>
      </c>
      <c r="K6" s="13">
        <v>5</v>
      </c>
      <c r="L6" s="13">
        <v>5</v>
      </c>
      <c r="M6" s="13">
        <v>5</v>
      </c>
      <c r="N6" s="13">
        <v>5</v>
      </c>
      <c r="O6" s="13">
        <v>5</v>
      </c>
      <c r="P6" s="12">
        <v>5</v>
      </c>
      <c r="Q6" s="12">
        <v>5</v>
      </c>
      <c r="R6" s="12">
        <v>5</v>
      </c>
      <c r="S6" s="13">
        <v>5</v>
      </c>
      <c r="T6" s="14">
        <v>5</v>
      </c>
      <c r="U6" s="14">
        <v>5</v>
      </c>
      <c r="V6" s="14">
        <v>5</v>
      </c>
      <c r="W6" s="14">
        <v>5</v>
      </c>
      <c r="X6" s="15">
        <v>5</v>
      </c>
      <c r="Y6" s="15">
        <v>5</v>
      </c>
      <c r="Z6" s="15">
        <v>5</v>
      </c>
      <c r="AA6" s="15">
        <v>5</v>
      </c>
      <c r="AB6" s="15">
        <v>5</v>
      </c>
      <c r="AC6" s="15">
        <v>5</v>
      </c>
      <c r="AD6" s="15">
        <v>5</v>
      </c>
      <c r="AE6" s="15">
        <v>5</v>
      </c>
      <c r="AF6" s="15">
        <v>5</v>
      </c>
      <c r="AG6" s="15">
        <v>5</v>
      </c>
      <c r="AH6" s="15">
        <v>5</v>
      </c>
      <c r="AI6" s="15">
        <v>5</v>
      </c>
      <c r="AJ6" s="15">
        <v>5</v>
      </c>
      <c r="AK6" s="15">
        <v>5</v>
      </c>
      <c r="AL6" s="15">
        <v>5</v>
      </c>
      <c r="AM6" s="15">
        <v>5</v>
      </c>
      <c r="AN6" s="15">
        <v>5</v>
      </c>
      <c r="AO6" s="15">
        <v>5</v>
      </c>
      <c r="AP6" s="15">
        <v>5</v>
      </c>
      <c r="AQ6" s="15">
        <v>5</v>
      </c>
      <c r="AR6" s="15">
        <v>5</v>
      </c>
      <c r="AS6" s="15">
        <v>5</v>
      </c>
      <c r="AT6" s="15">
        <v>5</v>
      </c>
      <c r="AU6" s="15">
        <v>5</v>
      </c>
      <c r="AV6" s="15"/>
      <c r="AW6" s="15"/>
      <c r="AX6" s="15"/>
      <c r="AY6" s="16"/>
      <c r="AZ6" s="15"/>
      <c r="BA6" s="15"/>
      <c r="BB6" s="15"/>
      <c r="BC6" s="16"/>
      <c r="BD6" s="15"/>
      <c r="BE6" s="15"/>
      <c r="BF6" s="15"/>
      <c r="BG6" s="16"/>
      <c r="BH6" s="15"/>
      <c r="BI6" s="15"/>
      <c r="BJ6" s="15"/>
      <c r="BK6" s="16"/>
      <c r="BL6" s="15"/>
      <c r="BM6" s="15"/>
      <c r="BN6" s="15"/>
      <c r="BO6" s="16"/>
      <c r="BP6" s="15"/>
      <c r="BQ6" s="15"/>
      <c r="BR6" s="15"/>
      <c r="BS6" s="16"/>
      <c r="BT6" s="15"/>
      <c r="BU6" s="15"/>
      <c r="BV6" s="15"/>
      <c r="BW6" s="16"/>
      <c r="BX6" s="15"/>
      <c r="BY6" s="15"/>
      <c r="BZ6" s="15"/>
      <c r="CA6" s="17"/>
      <c r="CB6" s="18">
        <v>45752</v>
      </c>
      <c r="CC6" s="19"/>
      <c r="CD6" s="19">
        <v>5</v>
      </c>
      <c r="CE6" s="19"/>
      <c r="CF6" s="20">
        <v>5</v>
      </c>
      <c r="CG6" s="21">
        <f t="shared" ref="CG6:CJ6" si="3">AVERAGE(BX6,BT6,BP6,BL6,BH6,BD6,AZ6,AV6,AR6,AN6,AJ6,AF6,AB6,X6,T6,P6,L6,H6,D6)</f>
        <v>5</v>
      </c>
      <c r="CH6" s="22">
        <f t="shared" si="3"/>
        <v>5</v>
      </c>
      <c r="CI6" s="22">
        <f t="shared" si="3"/>
        <v>5</v>
      </c>
      <c r="CJ6" s="22">
        <f t="shared" si="3"/>
        <v>5</v>
      </c>
      <c r="CK6" s="23">
        <f>(' Follow Up 1st'!$CB6+' Follow Up 1st'!$CC6)/2</f>
        <v>22876</v>
      </c>
      <c r="CL6" s="22">
        <f>(' Follow Up 1st'!$CD6+' Follow Up 1st'!$CE6)/2</f>
        <v>2.5</v>
      </c>
      <c r="CM6" s="24">
        <v>5</v>
      </c>
    </row>
    <row r="7" spans="1:91" ht="18.75" customHeight="1" x14ac:dyDescent="0.55000000000000004">
      <c r="A7" s="10">
        <v>5</v>
      </c>
      <c r="B7" s="25" t="s">
        <v>42</v>
      </c>
      <c r="C7" s="25" t="s">
        <v>38</v>
      </c>
      <c r="D7" s="12">
        <v>5</v>
      </c>
      <c r="E7" s="12">
        <v>5</v>
      </c>
      <c r="F7" s="12">
        <v>5</v>
      </c>
      <c r="G7" s="13">
        <v>5</v>
      </c>
      <c r="H7" s="13">
        <v>5</v>
      </c>
      <c r="I7" s="13">
        <v>5</v>
      </c>
      <c r="J7" s="13">
        <v>5</v>
      </c>
      <c r="K7" s="13">
        <v>5</v>
      </c>
      <c r="L7" s="13">
        <v>5</v>
      </c>
      <c r="M7" s="13">
        <v>5</v>
      </c>
      <c r="N7" s="13">
        <v>5</v>
      </c>
      <c r="O7" s="13">
        <v>5</v>
      </c>
      <c r="P7" s="12">
        <v>5</v>
      </c>
      <c r="Q7" s="12">
        <v>5</v>
      </c>
      <c r="R7" s="12">
        <v>5</v>
      </c>
      <c r="S7" s="13">
        <v>5</v>
      </c>
      <c r="T7" s="14">
        <v>5</v>
      </c>
      <c r="U7" s="14">
        <v>5</v>
      </c>
      <c r="V7" s="14">
        <v>5</v>
      </c>
      <c r="W7" s="14">
        <v>5</v>
      </c>
      <c r="X7" s="15">
        <v>5</v>
      </c>
      <c r="Y7" s="15">
        <v>5</v>
      </c>
      <c r="Z7" s="15">
        <v>5</v>
      </c>
      <c r="AA7" s="15">
        <v>5</v>
      </c>
      <c r="AB7" s="15">
        <v>5</v>
      </c>
      <c r="AC7" s="15">
        <v>5</v>
      </c>
      <c r="AD7" s="15">
        <v>5</v>
      </c>
      <c r="AE7" s="15">
        <v>5</v>
      </c>
      <c r="AF7" s="15">
        <v>5</v>
      </c>
      <c r="AG7" s="15">
        <v>5</v>
      </c>
      <c r="AH7" s="15">
        <v>5</v>
      </c>
      <c r="AI7" s="15">
        <v>5</v>
      </c>
      <c r="AJ7" s="15">
        <v>5</v>
      </c>
      <c r="AK7" s="15">
        <v>5</v>
      </c>
      <c r="AL7" s="15">
        <v>5</v>
      </c>
      <c r="AM7" s="15">
        <v>5</v>
      </c>
      <c r="AN7" s="15">
        <v>5</v>
      </c>
      <c r="AO7" s="15">
        <v>5</v>
      </c>
      <c r="AP7" s="15">
        <v>5</v>
      </c>
      <c r="AQ7" s="15">
        <v>5</v>
      </c>
      <c r="AR7" s="15">
        <v>5</v>
      </c>
      <c r="AS7" s="15">
        <v>5</v>
      </c>
      <c r="AT7" s="15">
        <v>5</v>
      </c>
      <c r="AU7" s="15">
        <v>5</v>
      </c>
      <c r="AV7" s="15"/>
      <c r="AW7" s="15"/>
      <c r="AX7" s="15"/>
      <c r="AY7" s="16"/>
      <c r="AZ7" s="15"/>
      <c r="BA7" s="15"/>
      <c r="BB7" s="15"/>
      <c r="BC7" s="16"/>
      <c r="BD7" s="15"/>
      <c r="BE7" s="15"/>
      <c r="BF7" s="15"/>
      <c r="BG7" s="16"/>
      <c r="BH7" s="15"/>
      <c r="BI7" s="15"/>
      <c r="BJ7" s="15"/>
      <c r="BK7" s="16"/>
      <c r="BL7" s="15"/>
      <c r="BM7" s="15"/>
      <c r="BN7" s="15"/>
      <c r="BO7" s="16"/>
      <c r="BP7" s="15"/>
      <c r="BQ7" s="15"/>
      <c r="BR7" s="15"/>
      <c r="BS7" s="16"/>
      <c r="BT7" s="15"/>
      <c r="BU7" s="15"/>
      <c r="BV7" s="15"/>
      <c r="BW7" s="16"/>
      <c r="BX7" s="15"/>
      <c r="BY7" s="15"/>
      <c r="BZ7" s="15"/>
      <c r="CA7" s="17"/>
      <c r="CB7" s="19">
        <v>4</v>
      </c>
      <c r="CC7" s="19"/>
      <c r="CD7" s="19">
        <v>9</v>
      </c>
      <c r="CE7" s="19"/>
      <c r="CF7" s="20">
        <v>5</v>
      </c>
      <c r="CG7" s="21">
        <f t="shared" ref="CG7:CJ7" si="4">AVERAGE(BX7,BT7,BP7,BL7,BH7,BD7,AZ7,AV7,AR7,AN7,AJ7,AF7,AB7,X7,T7,P7,L7,H7,D7)</f>
        <v>5</v>
      </c>
      <c r="CH7" s="22">
        <f t="shared" si="4"/>
        <v>5</v>
      </c>
      <c r="CI7" s="22">
        <f t="shared" si="4"/>
        <v>5</v>
      </c>
      <c r="CJ7" s="22">
        <f t="shared" si="4"/>
        <v>5</v>
      </c>
      <c r="CK7" s="22">
        <f>(' Follow Up 1st'!$CB7+' Follow Up 1st'!$CC7)/2</f>
        <v>2</v>
      </c>
      <c r="CL7" s="22">
        <f>(' Follow Up 1st'!$CD7+' Follow Up 1st'!$CE7)/2</f>
        <v>4.5</v>
      </c>
      <c r="CM7" s="24">
        <v>5</v>
      </c>
    </row>
    <row r="8" spans="1:91" ht="18.75" customHeight="1" x14ac:dyDescent="0.55000000000000004">
      <c r="A8" s="10">
        <v>6</v>
      </c>
      <c r="B8" s="25" t="s">
        <v>43</v>
      </c>
      <c r="C8" s="25" t="s">
        <v>38</v>
      </c>
      <c r="D8" s="12">
        <v>5</v>
      </c>
      <c r="E8" s="12">
        <v>5</v>
      </c>
      <c r="F8" s="12">
        <v>5</v>
      </c>
      <c r="G8" s="13">
        <v>5</v>
      </c>
      <c r="H8" s="13">
        <v>5</v>
      </c>
      <c r="I8" s="13">
        <v>5</v>
      </c>
      <c r="J8" s="13">
        <v>5</v>
      </c>
      <c r="K8" s="13">
        <v>5</v>
      </c>
      <c r="L8" s="13">
        <v>5</v>
      </c>
      <c r="M8" s="13">
        <v>5</v>
      </c>
      <c r="N8" s="13">
        <v>5</v>
      </c>
      <c r="O8" s="13">
        <v>5</v>
      </c>
      <c r="P8" s="12">
        <v>5</v>
      </c>
      <c r="Q8" s="12">
        <v>5</v>
      </c>
      <c r="R8" s="12">
        <v>5</v>
      </c>
      <c r="S8" s="13">
        <v>5</v>
      </c>
      <c r="T8" s="14">
        <v>5</v>
      </c>
      <c r="U8" s="14">
        <v>5</v>
      </c>
      <c r="V8" s="14">
        <v>5</v>
      </c>
      <c r="W8" s="14">
        <v>5</v>
      </c>
      <c r="X8" s="15">
        <v>5</v>
      </c>
      <c r="Y8" s="15">
        <v>5</v>
      </c>
      <c r="Z8" s="15">
        <v>5</v>
      </c>
      <c r="AA8" s="15">
        <v>5</v>
      </c>
      <c r="AB8" s="15">
        <v>5</v>
      </c>
      <c r="AC8" s="15">
        <v>5</v>
      </c>
      <c r="AD8" s="15">
        <v>5</v>
      </c>
      <c r="AE8" s="15">
        <v>5</v>
      </c>
      <c r="AF8" s="15">
        <v>5</v>
      </c>
      <c r="AG8" s="15">
        <v>5</v>
      </c>
      <c r="AH8" s="15">
        <v>5</v>
      </c>
      <c r="AI8" s="15">
        <v>5</v>
      </c>
      <c r="AJ8" s="15">
        <v>5</v>
      </c>
      <c r="AK8" s="15">
        <v>5</v>
      </c>
      <c r="AL8" s="15">
        <v>5</v>
      </c>
      <c r="AM8" s="15">
        <v>5</v>
      </c>
      <c r="AN8" s="15">
        <v>5</v>
      </c>
      <c r="AO8" s="15">
        <v>5</v>
      </c>
      <c r="AP8" s="15">
        <v>5</v>
      </c>
      <c r="AQ8" s="15">
        <v>5</v>
      </c>
      <c r="AR8" s="15">
        <v>5</v>
      </c>
      <c r="AS8" s="15">
        <v>5</v>
      </c>
      <c r="AT8" s="15">
        <v>5</v>
      </c>
      <c r="AU8" s="15">
        <v>5</v>
      </c>
      <c r="AV8" s="15"/>
      <c r="AW8" s="15"/>
      <c r="AX8" s="15"/>
      <c r="AY8" s="16"/>
      <c r="AZ8" s="15"/>
      <c r="BA8" s="15"/>
      <c r="BB8" s="15"/>
      <c r="BC8" s="16"/>
      <c r="BD8" s="15"/>
      <c r="BE8" s="15"/>
      <c r="BF8" s="15"/>
      <c r="BG8" s="16"/>
      <c r="BH8" s="15"/>
      <c r="BI8" s="15"/>
      <c r="BJ8" s="15"/>
      <c r="BK8" s="16"/>
      <c r="BL8" s="15"/>
      <c r="BM8" s="15"/>
      <c r="BN8" s="15"/>
      <c r="BO8" s="16"/>
      <c r="BP8" s="15"/>
      <c r="BQ8" s="15"/>
      <c r="BR8" s="15"/>
      <c r="BS8" s="16"/>
      <c r="BT8" s="15"/>
      <c r="BU8" s="15"/>
      <c r="BV8" s="15"/>
      <c r="BW8" s="16"/>
      <c r="BX8" s="15"/>
      <c r="BY8" s="15"/>
      <c r="BZ8" s="15"/>
      <c r="CA8" s="17"/>
      <c r="CB8" s="19">
        <v>5</v>
      </c>
      <c r="CC8" s="19"/>
      <c r="CD8" s="18">
        <v>45843</v>
      </c>
      <c r="CE8" s="19"/>
      <c r="CF8" s="20">
        <v>5</v>
      </c>
      <c r="CG8" s="21">
        <f t="shared" ref="CG8:CJ8" si="5">AVERAGE(BX8,BT8,BP8,BL8,BH8,BD8,AZ8,AV8,AR8,AN8,AJ8,AF8,AB8,X8,T8,P8,L8,H8,D8)</f>
        <v>5</v>
      </c>
      <c r="CH8" s="22">
        <f t="shared" si="5"/>
        <v>5</v>
      </c>
      <c r="CI8" s="22">
        <f t="shared" si="5"/>
        <v>5</v>
      </c>
      <c r="CJ8" s="22">
        <f t="shared" si="5"/>
        <v>5</v>
      </c>
      <c r="CK8" s="22">
        <f>(' Follow Up 1st'!$CB8+' Follow Up 1st'!$CC8)/2</f>
        <v>2.5</v>
      </c>
      <c r="CL8" s="23">
        <f>(' Follow Up 1st'!$CD8+' Follow Up 1st'!$CE8)/2</f>
        <v>22921.5</v>
      </c>
      <c r="CM8" s="24">
        <v>5</v>
      </c>
    </row>
    <row r="9" spans="1:91" ht="18.75" customHeight="1" x14ac:dyDescent="0.55000000000000004">
      <c r="A9" s="10">
        <v>7</v>
      </c>
      <c r="B9" s="25" t="s">
        <v>44</v>
      </c>
      <c r="C9" s="25" t="s">
        <v>38</v>
      </c>
      <c r="D9" s="12">
        <v>5</v>
      </c>
      <c r="E9" s="12">
        <v>5</v>
      </c>
      <c r="F9" s="12">
        <v>5</v>
      </c>
      <c r="G9" s="13">
        <v>5</v>
      </c>
      <c r="H9" s="13">
        <v>5</v>
      </c>
      <c r="I9" s="13">
        <v>5</v>
      </c>
      <c r="J9" s="13">
        <v>5</v>
      </c>
      <c r="K9" s="13">
        <v>5</v>
      </c>
      <c r="L9" s="13">
        <v>5</v>
      </c>
      <c r="M9" s="13">
        <v>5</v>
      </c>
      <c r="N9" s="13">
        <v>5</v>
      </c>
      <c r="O9" s="13">
        <v>5</v>
      </c>
      <c r="P9" s="12">
        <v>5</v>
      </c>
      <c r="Q9" s="12">
        <v>5</v>
      </c>
      <c r="R9" s="12">
        <v>5</v>
      </c>
      <c r="S9" s="13">
        <v>5</v>
      </c>
      <c r="T9" s="14">
        <v>5</v>
      </c>
      <c r="U9" s="14">
        <v>5</v>
      </c>
      <c r="V9" s="14">
        <v>5</v>
      </c>
      <c r="W9" s="14">
        <v>5</v>
      </c>
      <c r="X9" s="15">
        <v>5</v>
      </c>
      <c r="Y9" s="15">
        <v>5</v>
      </c>
      <c r="Z9" s="15">
        <v>5</v>
      </c>
      <c r="AA9" s="15">
        <v>5</v>
      </c>
      <c r="AB9" s="15">
        <v>5</v>
      </c>
      <c r="AC9" s="15">
        <v>5</v>
      </c>
      <c r="AD9" s="15">
        <v>5</v>
      </c>
      <c r="AE9" s="15">
        <v>5</v>
      </c>
      <c r="AF9" s="15">
        <v>5</v>
      </c>
      <c r="AG9" s="15">
        <v>5</v>
      </c>
      <c r="AH9" s="15">
        <v>5</v>
      </c>
      <c r="AI9" s="15">
        <v>5</v>
      </c>
      <c r="AJ9" s="15">
        <v>5</v>
      </c>
      <c r="AK9" s="15">
        <v>5</v>
      </c>
      <c r="AL9" s="15">
        <v>5</v>
      </c>
      <c r="AM9" s="15">
        <v>5</v>
      </c>
      <c r="AN9" s="15">
        <v>5</v>
      </c>
      <c r="AO9" s="15">
        <v>5</v>
      </c>
      <c r="AP9" s="15">
        <v>5</v>
      </c>
      <c r="AQ9" s="15">
        <v>5</v>
      </c>
      <c r="AR9" s="15">
        <v>5</v>
      </c>
      <c r="AS9" s="15">
        <v>5</v>
      </c>
      <c r="AT9" s="15">
        <v>5</v>
      </c>
      <c r="AU9" s="15">
        <v>5</v>
      </c>
      <c r="AV9" s="15"/>
      <c r="AW9" s="15"/>
      <c r="AX9" s="15"/>
      <c r="AY9" s="16"/>
      <c r="AZ9" s="15"/>
      <c r="BA9" s="15"/>
      <c r="BB9" s="15"/>
      <c r="BC9" s="16"/>
      <c r="BD9" s="15"/>
      <c r="BE9" s="15"/>
      <c r="BF9" s="15"/>
      <c r="BG9" s="16"/>
      <c r="BH9" s="15"/>
      <c r="BI9" s="15"/>
      <c r="BJ9" s="15"/>
      <c r="BK9" s="16"/>
      <c r="BL9" s="15"/>
      <c r="BM9" s="15"/>
      <c r="BN9" s="15"/>
      <c r="BO9" s="16"/>
      <c r="BP9" s="15"/>
      <c r="BQ9" s="15"/>
      <c r="BR9" s="15"/>
      <c r="BS9" s="16"/>
      <c r="BT9" s="15"/>
      <c r="BU9" s="15"/>
      <c r="BV9" s="15"/>
      <c r="BW9" s="16"/>
      <c r="BX9" s="15"/>
      <c r="BY9" s="15"/>
      <c r="BZ9" s="15"/>
      <c r="CA9" s="17"/>
      <c r="CB9" s="19">
        <v>5</v>
      </c>
      <c r="CC9" s="19"/>
      <c r="CD9" s="19">
        <v>9</v>
      </c>
      <c r="CE9" s="19"/>
      <c r="CF9" s="20">
        <v>5</v>
      </c>
      <c r="CG9" s="21">
        <f t="shared" ref="CG9:CJ9" si="6">AVERAGE(BX9,BT9,BP9,BL9,BH9,BD9,AZ9,AV9,AR9,AN9,AJ9,AF9,AB9,X9,T9,P9,L9,H9,D9)</f>
        <v>5</v>
      </c>
      <c r="CH9" s="22">
        <f t="shared" si="6"/>
        <v>5</v>
      </c>
      <c r="CI9" s="22">
        <f t="shared" si="6"/>
        <v>5</v>
      </c>
      <c r="CJ9" s="22">
        <f t="shared" si="6"/>
        <v>5</v>
      </c>
      <c r="CK9" s="22">
        <f>(' Follow Up 1st'!$CB9+' Follow Up 1st'!$CC9)/2</f>
        <v>2.5</v>
      </c>
      <c r="CL9" s="22">
        <f>(' Follow Up 1st'!$CD9+' Follow Up 1st'!$CE9)/2</f>
        <v>4.5</v>
      </c>
      <c r="CM9" s="24">
        <v>5</v>
      </c>
    </row>
    <row r="10" spans="1:91" ht="18.75" customHeight="1" x14ac:dyDescent="0.55000000000000004">
      <c r="A10" s="10">
        <v>8</v>
      </c>
      <c r="B10" s="25" t="s">
        <v>45</v>
      </c>
      <c r="C10" s="25" t="s">
        <v>38</v>
      </c>
      <c r="D10" s="12">
        <v>5</v>
      </c>
      <c r="E10" s="12">
        <v>5</v>
      </c>
      <c r="F10" s="12">
        <v>5</v>
      </c>
      <c r="G10" s="13">
        <v>5</v>
      </c>
      <c r="H10" s="13">
        <v>5</v>
      </c>
      <c r="I10" s="13">
        <v>5</v>
      </c>
      <c r="J10" s="13">
        <v>5</v>
      </c>
      <c r="K10" s="13">
        <v>5</v>
      </c>
      <c r="L10" s="13">
        <v>5</v>
      </c>
      <c r="M10" s="13">
        <v>5</v>
      </c>
      <c r="N10" s="13">
        <v>5</v>
      </c>
      <c r="O10" s="13">
        <v>5</v>
      </c>
      <c r="P10" s="12">
        <v>5</v>
      </c>
      <c r="Q10" s="12">
        <v>5</v>
      </c>
      <c r="R10" s="12">
        <v>5</v>
      </c>
      <c r="S10" s="13">
        <v>5</v>
      </c>
      <c r="T10" s="14">
        <v>5</v>
      </c>
      <c r="U10" s="14">
        <v>5</v>
      </c>
      <c r="V10" s="14">
        <v>5</v>
      </c>
      <c r="W10" s="14">
        <v>5</v>
      </c>
      <c r="X10" s="15">
        <v>5</v>
      </c>
      <c r="Y10" s="15">
        <v>5</v>
      </c>
      <c r="Z10" s="15">
        <v>5</v>
      </c>
      <c r="AA10" s="15">
        <v>5</v>
      </c>
      <c r="AB10" s="15">
        <v>5</v>
      </c>
      <c r="AC10" s="15">
        <v>5</v>
      </c>
      <c r="AD10" s="15">
        <v>5</v>
      </c>
      <c r="AE10" s="15">
        <v>5</v>
      </c>
      <c r="AF10" s="15">
        <v>5</v>
      </c>
      <c r="AG10" s="15">
        <v>5</v>
      </c>
      <c r="AH10" s="15">
        <v>5</v>
      </c>
      <c r="AI10" s="15">
        <v>5</v>
      </c>
      <c r="AJ10" s="15">
        <v>5</v>
      </c>
      <c r="AK10" s="15">
        <v>5</v>
      </c>
      <c r="AL10" s="15">
        <v>5</v>
      </c>
      <c r="AM10" s="15">
        <v>5</v>
      </c>
      <c r="AN10" s="15">
        <v>5</v>
      </c>
      <c r="AO10" s="15">
        <v>5</v>
      </c>
      <c r="AP10" s="15">
        <v>5</v>
      </c>
      <c r="AQ10" s="15">
        <v>5</v>
      </c>
      <c r="AR10" s="15">
        <v>5</v>
      </c>
      <c r="AS10" s="15">
        <v>5</v>
      </c>
      <c r="AT10" s="15">
        <v>5</v>
      </c>
      <c r="AU10" s="15">
        <v>5</v>
      </c>
      <c r="AV10" s="15"/>
      <c r="AW10" s="15"/>
      <c r="AX10" s="15"/>
      <c r="AY10" s="16"/>
      <c r="AZ10" s="15"/>
      <c r="BA10" s="15"/>
      <c r="BB10" s="15"/>
      <c r="BC10" s="16"/>
      <c r="BD10" s="15"/>
      <c r="BE10" s="15"/>
      <c r="BF10" s="15"/>
      <c r="BG10" s="16"/>
      <c r="BH10" s="15"/>
      <c r="BI10" s="15"/>
      <c r="BJ10" s="15"/>
      <c r="BK10" s="16"/>
      <c r="BL10" s="15"/>
      <c r="BM10" s="15"/>
      <c r="BN10" s="15"/>
      <c r="BO10" s="16"/>
      <c r="BP10" s="15"/>
      <c r="BQ10" s="15"/>
      <c r="BR10" s="15"/>
      <c r="BS10" s="16"/>
      <c r="BT10" s="15"/>
      <c r="BU10" s="15"/>
      <c r="BV10" s="15"/>
      <c r="BW10" s="16"/>
      <c r="BX10" s="15"/>
      <c r="BY10" s="15"/>
      <c r="BZ10" s="15"/>
      <c r="CA10" s="17"/>
      <c r="CB10" s="18">
        <v>45662</v>
      </c>
      <c r="CC10" s="19"/>
      <c r="CD10" s="18">
        <v>45813</v>
      </c>
      <c r="CE10" s="19"/>
      <c r="CF10" s="20">
        <v>5</v>
      </c>
      <c r="CG10" s="21">
        <f t="shared" ref="CG10:CJ10" si="7">AVERAGE(BX10,BT10,BP10,BL10,BH10,BD10,AZ10,AV10,AR10,AN10,AJ10,AF10,AB10,X10,T10,P10,L10,H10,D10)</f>
        <v>5</v>
      </c>
      <c r="CH10" s="22">
        <f t="shared" si="7"/>
        <v>5</v>
      </c>
      <c r="CI10" s="22">
        <f t="shared" si="7"/>
        <v>5</v>
      </c>
      <c r="CJ10" s="22">
        <f t="shared" si="7"/>
        <v>5</v>
      </c>
      <c r="CK10" s="23">
        <f>(' Follow Up 1st'!$CB10+' Follow Up 1st'!$CC10)/2</f>
        <v>22831</v>
      </c>
      <c r="CL10" s="23">
        <f>(' Follow Up 1st'!$CD10+' Follow Up 1st'!$CE10)/2</f>
        <v>22906.5</v>
      </c>
      <c r="CM10" s="24">
        <v>5</v>
      </c>
    </row>
    <row r="11" spans="1:91" ht="18.75" customHeight="1" x14ac:dyDescent="0.55000000000000004">
      <c r="A11" s="10">
        <v>9</v>
      </c>
      <c r="B11" s="25" t="s">
        <v>46</v>
      </c>
      <c r="C11" s="25" t="s">
        <v>38</v>
      </c>
      <c r="D11" s="12">
        <v>5</v>
      </c>
      <c r="E11" s="12">
        <v>5</v>
      </c>
      <c r="F11" s="12">
        <v>5</v>
      </c>
      <c r="G11" s="13">
        <v>5</v>
      </c>
      <c r="H11" s="13">
        <v>5</v>
      </c>
      <c r="I11" s="13">
        <v>5</v>
      </c>
      <c r="J11" s="13">
        <v>5</v>
      </c>
      <c r="K11" s="13">
        <v>5</v>
      </c>
      <c r="L11" s="13">
        <v>5</v>
      </c>
      <c r="M11" s="13">
        <v>5</v>
      </c>
      <c r="N11" s="13">
        <v>5</v>
      </c>
      <c r="O11" s="13">
        <v>5</v>
      </c>
      <c r="P11" s="12">
        <v>5</v>
      </c>
      <c r="Q11" s="12">
        <v>5</v>
      </c>
      <c r="R11" s="12">
        <v>5</v>
      </c>
      <c r="S11" s="13">
        <v>5</v>
      </c>
      <c r="T11" s="14">
        <v>5</v>
      </c>
      <c r="U11" s="14">
        <v>5</v>
      </c>
      <c r="V11" s="14">
        <v>5</v>
      </c>
      <c r="W11" s="14">
        <v>5</v>
      </c>
      <c r="X11" s="15">
        <v>5</v>
      </c>
      <c r="Y11" s="15">
        <v>5</v>
      </c>
      <c r="Z11" s="15">
        <v>5</v>
      </c>
      <c r="AA11" s="15">
        <v>5</v>
      </c>
      <c r="AB11" s="15">
        <v>5</v>
      </c>
      <c r="AC11" s="15">
        <v>5</v>
      </c>
      <c r="AD11" s="15">
        <v>5</v>
      </c>
      <c r="AE11" s="15">
        <v>5</v>
      </c>
      <c r="AF11" s="15">
        <v>5</v>
      </c>
      <c r="AG11" s="15">
        <v>5</v>
      </c>
      <c r="AH11" s="15">
        <v>5</v>
      </c>
      <c r="AI11" s="15">
        <v>5</v>
      </c>
      <c r="AJ11" s="15">
        <v>5</v>
      </c>
      <c r="AK11" s="15">
        <v>5</v>
      </c>
      <c r="AL11" s="15">
        <v>5</v>
      </c>
      <c r="AM11" s="15">
        <v>5</v>
      </c>
      <c r="AN11" s="15">
        <v>5</v>
      </c>
      <c r="AO11" s="15">
        <v>5</v>
      </c>
      <c r="AP11" s="15">
        <v>5</v>
      </c>
      <c r="AQ11" s="15">
        <v>5</v>
      </c>
      <c r="AR11" s="15">
        <v>5</v>
      </c>
      <c r="AS11" s="15">
        <v>5</v>
      </c>
      <c r="AT11" s="15">
        <v>5</v>
      </c>
      <c r="AU11" s="15">
        <v>5</v>
      </c>
      <c r="AV11" s="15"/>
      <c r="AW11" s="15"/>
      <c r="AX11" s="15"/>
      <c r="AY11" s="16"/>
      <c r="AZ11" s="15"/>
      <c r="BA11" s="15"/>
      <c r="BB11" s="15"/>
      <c r="BC11" s="16"/>
      <c r="BD11" s="15"/>
      <c r="BE11" s="15"/>
      <c r="BF11" s="15"/>
      <c r="BG11" s="16"/>
      <c r="BH11" s="15"/>
      <c r="BI11" s="15"/>
      <c r="BJ11" s="15"/>
      <c r="BK11" s="16"/>
      <c r="BL11" s="15"/>
      <c r="BM11" s="15"/>
      <c r="BN11" s="15"/>
      <c r="BO11" s="16"/>
      <c r="BP11" s="15"/>
      <c r="BQ11" s="15"/>
      <c r="BR11" s="15"/>
      <c r="BS11" s="16"/>
      <c r="BT11" s="15"/>
      <c r="BU11" s="15"/>
      <c r="BV11" s="15"/>
      <c r="BW11" s="16"/>
      <c r="BX11" s="15"/>
      <c r="BY11" s="15"/>
      <c r="BZ11" s="15"/>
      <c r="CA11" s="17"/>
      <c r="CB11" s="19">
        <v>5</v>
      </c>
      <c r="CC11" s="19"/>
      <c r="CD11" s="18">
        <v>45905</v>
      </c>
      <c r="CE11" s="19"/>
      <c r="CF11" s="20">
        <v>5</v>
      </c>
      <c r="CG11" s="21">
        <f t="shared" ref="CG11:CJ11" si="8">AVERAGE(BX11,BT11,BP11,BL11,BH11,BD11,AZ11,AV11,AR11,AN11,AJ11,AF11,AB11,X11,T11,P11,L11,H11,D11)</f>
        <v>5</v>
      </c>
      <c r="CH11" s="22">
        <f t="shared" si="8"/>
        <v>5</v>
      </c>
      <c r="CI11" s="22">
        <f t="shared" si="8"/>
        <v>5</v>
      </c>
      <c r="CJ11" s="22">
        <f t="shared" si="8"/>
        <v>5</v>
      </c>
      <c r="CK11" s="22">
        <f>(' Follow Up 1st'!$CB11+' Follow Up 1st'!$CC11)/2</f>
        <v>2.5</v>
      </c>
      <c r="CL11" s="23">
        <f>(' Follow Up 1st'!$CD11+' Follow Up 1st'!$CE11)/2</f>
        <v>22952.5</v>
      </c>
      <c r="CM11" s="24">
        <v>5</v>
      </c>
    </row>
    <row r="12" spans="1:91" ht="18.75" customHeight="1" x14ac:dyDescent="0.55000000000000004">
      <c r="A12" s="10">
        <v>10</v>
      </c>
      <c r="B12" s="25" t="s">
        <v>47</v>
      </c>
      <c r="C12" s="25" t="s">
        <v>38</v>
      </c>
      <c r="D12" s="12">
        <v>5</v>
      </c>
      <c r="E12" s="12">
        <v>5</v>
      </c>
      <c r="F12" s="12">
        <v>5</v>
      </c>
      <c r="G12" s="13">
        <v>5</v>
      </c>
      <c r="H12" s="13">
        <v>5</v>
      </c>
      <c r="I12" s="13">
        <v>5</v>
      </c>
      <c r="J12" s="13">
        <v>5</v>
      </c>
      <c r="K12" s="13">
        <v>5</v>
      </c>
      <c r="L12" s="13">
        <v>5</v>
      </c>
      <c r="M12" s="13">
        <v>5</v>
      </c>
      <c r="N12" s="13">
        <v>5</v>
      </c>
      <c r="O12" s="13">
        <v>5</v>
      </c>
      <c r="P12" s="12">
        <v>5</v>
      </c>
      <c r="Q12" s="12">
        <v>5</v>
      </c>
      <c r="R12" s="12">
        <v>5</v>
      </c>
      <c r="S12" s="13">
        <v>5</v>
      </c>
      <c r="T12" s="14">
        <v>5</v>
      </c>
      <c r="U12" s="14">
        <v>5</v>
      </c>
      <c r="V12" s="14">
        <v>5</v>
      </c>
      <c r="W12" s="14">
        <v>5</v>
      </c>
      <c r="X12" s="15">
        <v>5</v>
      </c>
      <c r="Y12" s="15">
        <v>5</v>
      </c>
      <c r="Z12" s="15">
        <v>5</v>
      </c>
      <c r="AA12" s="15">
        <v>5</v>
      </c>
      <c r="AB12" s="15">
        <v>5</v>
      </c>
      <c r="AC12" s="15">
        <v>5</v>
      </c>
      <c r="AD12" s="15">
        <v>5</v>
      </c>
      <c r="AE12" s="15">
        <v>5</v>
      </c>
      <c r="AF12" s="15">
        <v>5</v>
      </c>
      <c r="AG12" s="15">
        <v>5</v>
      </c>
      <c r="AH12" s="15">
        <v>5</v>
      </c>
      <c r="AI12" s="15">
        <v>5</v>
      </c>
      <c r="AJ12" s="15">
        <v>5</v>
      </c>
      <c r="AK12" s="15">
        <v>5</v>
      </c>
      <c r="AL12" s="15">
        <v>5</v>
      </c>
      <c r="AM12" s="15">
        <v>5</v>
      </c>
      <c r="AN12" s="15">
        <v>5</v>
      </c>
      <c r="AO12" s="15">
        <v>5</v>
      </c>
      <c r="AP12" s="15">
        <v>5</v>
      </c>
      <c r="AQ12" s="15">
        <v>5</v>
      </c>
      <c r="AR12" s="15">
        <v>5</v>
      </c>
      <c r="AS12" s="15">
        <v>5</v>
      </c>
      <c r="AT12" s="15">
        <v>5</v>
      </c>
      <c r="AU12" s="15">
        <v>5</v>
      </c>
      <c r="AV12" s="15"/>
      <c r="AW12" s="15"/>
      <c r="AX12" s="15"/>
      <c r="AY12" s="16"/>
      <c r="AZ12" s="15"/>
      <c r="BA12" s="15"/>
      <c r="BB12" s="15"/>
      <c r="BC12" s="16"/>
      <c r="BD12" s="15"/>
      <c r="BE12" s="15"/>
      <c r="BF12" s="15"/>
      <c r="BG12" s="16"/>
      <c r="BH12" s="15"/>
      <c r="BI12" s="15"/>
      <c r="BJ12" s="15"/>
      <c r="BK12" s="16"/>
      <c r="BL12" s="15"/>
      <c r="BM12" s="15"/>
      <c r="BN12" s="15"/>
      <c r="BO12" s="16"/>
      <c r="BP12" s="15"/>
      <c r="BQ12" s="15"/>
      <c r="BR12" s="15"/>
      <c r="BS12" s="16"/>
      <c r="BT12" s="15"/>
      <c r="BU12" s="15"/>
      <c r="BV12" s="15"/>
      <c r="BW12" s="16"/>
      <c r="BX12" s="15"/>
      <c r="BY12" s="15"/>
      <c r="BZ12" s="15"/>
      <c r="CA12" s="17"/>
      <c r="CB12" s="19">
        <v>5</v>
      </c>
      <c r="CC12" s="19"/>
      <c r="CD12" s="18">
        <v>45843</v>
      </c>
      <c r="CE12" s="19"/>
      <c r="CF12" s="20">
        <v>5</v>
      </c>
      <c r="CG12" s="21">
        <f t="shared" ref="CG12:CJ12" si="9">AVERAGE(BX12,BT12,BP12,BL12,BH12,BD12,AZ12,AV12,AR12,AN12,AJ12,AF12,AB12,X12,T12,P12,L12,H12,D12)</f>
        <v>5</v>
      </c>
      <c r="CH12" s="22">
        <f t="shared" si="9"/>
        <v>5</v>
      </c>
      <c r="CI12" s="22">
        <f t="shared" si="9"/>
        <v>5</v>
      </c>
      <c r="CJ12" s="22">
        <f t="shared" si="9"/>
        <v>5</v>
      </c>
      <c r="CK12" s="22">
        <f>(' Follow Up 1st'!$CB12+' Follow Up 1st'!$CC12)/2</f>
        <v>2.5</v>
      </c>
      <c r="CL12" s="23">
        <f>(' Follow Up 1st'!$CD12+' Follow Up 1st'!$CE12)/2</f>
        <v>22921.5</v>
      </c>
      <c r="CM12" s="24">
        <v>5</v>
      </c>
    </row>
    <row r="13" spans="1:91" ht="18.75" customHeight="1" x14ac:dyDescent="0.55000000000000004">
      <c r="A13" s="10">
        <v>11</v>
      </c>
      <c r="B13" s="25" t="s">
        <v>48</v>
      </c>
      <c r="C13" s="25" t="s">
        <v>38</v>
      </c>
      <c r="D13" s="12">
        <v>5</v>
      </c>
      <c r="E13" s="12">
        <v>5</v>
      </c>
      <c r="F13" s="12">
        <v>5</v>
      </c>
      <c r="G13" s="13">
        <v>5</v>
      </c>
      <c r="H13" s="13">
        <v>5</v>
      </c>
      <c r="I13" s="13">
        <v>5</v>
      </c>
      <c r="J13" s="13">
        <v>5</v>
      </c>
      <c r="K13" s="13">
        <v>5</v>
      </c>
      <c r="L13" s="13">
        <v>5</v>
      </c>
      <c r="M13" s="13">
        <v>5</v>
      </c>
      <c r="N13" s="13">
        <v>5</v>
      </c>
      <c r="O13" s="13">
        <v>5</v>
      </c>
      <c r="P13" s="12">
        <v>5</v>
      </c>
      <c r="Q13" s="12">
        <v>5</v>
      </c>
      <c r="R13" s="12">
        <v>5</v>
      </c>
      <c r="S13" s="13">
        <v>5</v>
      </c>
      <c r="T13" s="14">
        <v>5</v>
      </c>
      <c r="U13" s="14">
        <v>5</v>
      </c>
      <c r="V13" s="14">
        <v>5</v>
      </c>
      <c r="W13" s="14">
        <v>5</v>
      </c>
      <c r="X13" s="15">
        <v>5</v>
      </c>
      <c r="Y13" s="15">
        <v>5</v>
      </c>
      <c r="Z13" s="15">
        <v>5</v>
      </c>
      <c r="AA13" s="15">
        <v>5</v>
      </c>
      <c r="AB13" s="15">
        <v>5</v>
      </c>
      <c r="AC13" s="15">
        <v>5</v>
      </c>
      <c r="AD13" s="15">
        <v>5</v>
      </c>
      <c r="AE13" s="15">
        <v>5</v>
      </c>
      <c r="AF13" s="15">
        <v>5</v>
      </c>
      <c r="AG13" s="15">
        <v>5</v>
      </c>
      <c r="AH13" s="15">
        <v>5</v>
      </c>
      <c r="AI13" s="15">
        <v>5</v>
      </c>
      <c r="AJ13" s="15">
        <v>5</v>
      </c>
      <c r="AK13" s="15">
        <v>5</v>
      </c>
      <c r="AL13" s="15">
        <v>5</v>
      </c>
      <c r="AM13" s="15">
        <v>5</v>
      </c>
      <c r="AN13" s="15">
        <v>5</v>
      </c>
      <c r="AO13" s="15">
        <v>5</v>
      </c>
      <c r="AP13" s="15">
        <v>5</v>
      </c>
      <c r="AQ13" s="15">
        <v>5</v>
      </c>
      <c r="AR13" s="15">
        <v>5</v>
      </c>
      <c r="AS13" s="15">
        <v>5</v>
      </c>
      <c r="AT13" s="15">
        <v>5</v>
      </c>
      <c r="AU13" s="15">
        <v>5</v>
      </c>
      <c r="AV13" s="15"/>
      <c r="AW13" s="15"/>
      <c r="AX13" s="15"/>
      <c r="AY13" s="16"/>
      <c r="AZ13" s="15"/>
      <c r="BA13" s="15"/>
      <c r="BB13" s="15"/>
      <c r="BC13" s="16"/>
      <c r="BD13" s="15"/>
      <c r="BE13" s="15"/>
      <c r="BF13" s="15"/>
      <c r="BG13" s="16"/>
      <c r="BH13" s="15"/>
      <c r="BI13" s="15"/>
      <c r="BJ13" s="15"/>
      <c r="BK13" s="16"/>
      <c r="BL13" s="15"/>
      <c r="BM13" s="15"/>
      <c r="BN13" s="15"/>
      <c r="BO13" s="16"/>
      <c r="BP13" s="15"/>
      <c r="BQ13" s="15"/>
      <c r="BR13" s="15"/>
      <c r="BS13" s="16"/>
      <c r="BT13" s="15"/>
      <c r="BU13" s="15"/>
      <c r="BV13" s="15"/>
      <c r="BW13" s="16"/>
      <c r="BX13" s="15"/>
      <c r="BY13" s="15"/>
      <c r="BZ13" s="15"/>
      <c r="CA13" s="17"/>
      <c r="CB13" s="19">
        <v>5</v>
      </c>
      <c r="CC13" s="19"/>
      <c r="CD13" s="18">
        <v>45843</v>
      </c>
      <c r="CE13" s="19"/>
      <c r="CF13" s="20">
        <v>5</v>
      </c>
      <c r="CG13" s="21">
        <f t="shared" ref="CG13:CJ13" si="10">AVERAGE(BX13,BT13,BP13,BL13,BH13,BD13,AZ13,AV13,AR13,AN13,AJ13,AF13,AB13,X13,T13,P13,L13,H13,D13)</f>
        <v>5</v>
      </c>
      <c r="CH13" s="22">
        <f t="shared" si="10"/>
        <v>5</v>
      </c>
      <c r="CI13" s="22">
        <f t="shared" si="10"/>
        <v>5</v>
      </c>
      <c r="CJ13" s="22">
        <f t="shared" si="10"/>
        <v>5</v>
      </c>
      <c r="CK13" s="22">
        <f>(' Follow Up 1st'!$CB13+' Follow Up 1st'!$CC13)/2</f>
        <v>2.5</v>
      </c>
      <c r="CL13" s="23">
        <f>(' Follow Up 1st'!$CD13+' Follow Up 1st'!$CE13)/2</f>
        <v>22921.5</v>
      </c>
      <c r="CM13" s="24">
        <v>5</v>
      </c>
    </row>
    <row r="14" spans="1:91" ht="18.75" customHeight="1" x14ac:dyDescent="0.55000000000000004">
      <c r="A14" s="10">
        <v>12</v>
      </c>
      <c r="B14" s="25" t="s">
        <v>49</v>
      </c>
      <c r="C14" s="25" t="s">
        <v>38</v>
      </c>
      <c r="D14" s="12">
        <v>5</v>
      </c>
      <c r="E14" s="12">
        <v>5</v>
      </c>
      <c r="F14" s="12">
        <v>5</v>
      </c>
      <c r="G14" s="13">
        <v>5</v>
      </c>
      <c r="H14" s="13">
        <v>5</v>
      </c>
      <c r="I14" s="13">
        <v>5</v>
      </c>
      <c r="J14" s="13">
        <v>5</v>
      </c>
      <c r="K14" s="13">
        <v>5</v>
      </c>
      <c r="L14" s="13">
        <v>5</v>
      </c>
      <c r="M14" s="13">
        <v>5</v>
      </c>
      <c r="N14" s="13">
        <v>5</v>
      </c>
      <c r="O14" s="13">
        <v>5</v>
      </c>
      <c r="P14" s="12">
        <v>5</v>
      </c>
      <c r="Q14" s="12">
        <v>5</v>
      </c>
      <c r="R14" s="12">
        <v>5</v>
      </c>
      <c r="S14" s="13">
        <v>5</v>
      </c>
      <c r="T14" s="14">
        <v>5</v>
      </c>
      <c r="U14" s="14">
        <v>5</v>
      </c>
      <c r="V14" s="14">
        <v>5</v>
      </c>
      <c r="W14" s="14">
        <v>5</v>
      </c>
      <c r="X14" s="15">
        <v>5</v>
      </c>
      <c r="Y14" s="15">
        <v>5</v>
      </c>
      <c r="Z14" s="15">
        <v>5</v>
      </c>
      <c r="AA14" s="15">
        <v>5</v>
      </c>
      <c r="AB14" s="15">
        <v>5</v>
      </c>
      <c r="AC14" s="15">
        <v>5</v>
      </c>
      <c r="AD14" s="15">
        <v>5</v>
      </c>
      <c r="AE14" s="15">
        <v>5</v>
      </c>
      <c r="AF14" s="15">
        <v>5</v>
      </c>
      <c r="AG14" s="15">
        <v>5</v>
      </c>
      <c r="AH14" s="15">
        <v>5</v>
      </c>
      <c r="AI14" s="15">
        <v>5</v>
      </c>
      <c r="AJ14" s="15">
        <v>5</v>
      </c>
      <c r="AK14" s="15">
        <v>5</v>
      </c>
      <c r="AL14" s="15">
        <v>5</v>
      </c>
      <c r="AM14" s="15">
        <v>5</v>
      </c>
      <c r="AN14" s="15">
        <v>5</v>
      </c>
      <c r="AO14" s="15">
        <v>5</v>
      </c>
      <c r="AP14" s="15">
        <v>5</v>
      </c>
      <c r="AQ14" s="15">
        <v>5</v>
      </c>
      <c r="AR14" s="15">
        <v>5</v>
      </c>
      <c r="AS14" s="15">
        <v>5</v>
      </c>
      <c r="AT14" s="15">
        <v>5</v>
      </c>
      <c r="AU14" s="15">
        <v>5</v>
      </c>
      <c r="AV14" s="15"/>
      <c r="AW14" s="15"/>
      <c r="AX14" s="15"/>
      <c r="AY14" s="16"/>
      <c r="AZ14" s="15"/>
      <c r="BA14" s="15"/>
      <c r="BB14" s="15"/>
      <c r="BC14" s="16"/>
      <c r="BD14" s="15"/>
      <c r="BE14" s="15"/>
      <c r="BF14" s="15"/>
      <c r="BG14" s="16"/>
      <c r="BH14" s="15"/>
      <c r="BI14" s="15"/>
      <c r="BJ14" s="15"/>
      <c r="BK14" s="16"/>
      <c r="BL14" s="15"/>
      <c r="BM14" s="15"/>
      <c r="BN14" s="15"/>
      <c r="BO14" s="16"/>
      <c r="BP14" s="15"/>
      <c r="BQ14" s="15"/>
      <c r="BR14" s="15"/>
      <c r="BS14" s="16"/>
      <c r="BT14" s="15"/>
      <c r="BU14" s="15"/>
      <c r="BV14" s="15"/>
      <c r="BW14" s="16"/>
      <c r="BX14" s="15"/>
      <c r="BY14" s="15"/>
      <c r="BZ14" s="15"/>
      <c r="CA14" s="17"/>
      <c r="CB14" s="19">
        <v>5</v>
      </c>
      <c r="CC14" s="19"/>
      <c r="CD14" s="18">
        <v>45905</v>
      </c>
      <c r="CE14" s="19"/>
      <c r="CF14" s="20">
        <v>5</v>
      </c>
      <c r="CG14" s="21">
        <f t="shared" ref="CG14:CJ14" si="11">AVERAGE(BX14,BT14,BP14,BL14,BH14,BD14,AZ14,AV14,AR14,AN14,AJ14,AF14,AB14,X14,T14,P14,L14,H14,D14)</f>
        <v>5</v>
      </c>
      <c r="CH14" s="22">
        <f t="shared" si="11"/>
        <v>5</v>
      </c>
      <c r="CI14" s="22">
        <f t="shared" si="11"/>
        <v>5</v>
      </c>
      <c r="CJ14" s="22">
        <f t="shared" si="11"/>
        <v>5</v>
      </c>
      <c r="CK14" s="22">
        <f>(' Follow Up 1st'!$CB14+' Follow Up 1st'!$CC14)/2</f>
        <v>2.5</v>
      </c>
      <c r="CL14" s="23">
        <f>(' Follow Up 1st'!$CD14+' Follow Up 1st'!$CE14)/2</f>
        <v>22952.5</v>
      </c>
      <c r="CM14" s="24">
        <v>5</v>
      </c>
    </row>
    <row r="15" spans="1:91" ht="18.75" customHeight="1" x14ac:dyDescent="0.55000000000000004">
      <c r="A15" s="10">
        <v>13</v>
      </c>
      <c r="B15" s="25" t="s">
        <v>50</v>
      </c>
      <c r="C15" s="25" t="s">
        <v>38</v>
      </c>
      <c r="D15" s="12">
        <v>5</v>
      </c>
      <c r="E15" s="12">
        <v>5</v>
      </c>
      <c r="F15" s="12">
        <v>5</v>
      </c>
      <c r="G15" s="13">
        <v>5</v>
      </c>
      <c r="H15" s="13">
        <v>5</v>
      </c>
      <c r="I15" s="13">
        <v>5</v>
      </c>
      <c r="J15" s="13">
        <v>5</v>
      </c>
      <c r="K15" s="13">
        <v>5</v>
      </c>
      <c r="L15" s="13">
        <v>5</v>
      </c>
      <c r="M15" s="13">
        <v>5</v>
      </c>
      <c r="N15" s="13">
        <v>5</v>
      </c>
      <c r="O15" s="13">
        <v>5</v>
      </c>
      <c r="P15" s="12">
        <v>5</v>
      </c>
      <c r="Q15" s="12">
        <v>5</v>
      </c>
      <c r="R15" s="12">
        <v>5</v>
      </c>
      <c r="S15" s="13">
        <v>5</v>
      </c>
      <c r="T15" s="14">
        <v>5</v>
      </c>
      <c r="U15" s="14">
        <v>5</v>
      </c>
      <c r="V15" s="14">
        <v>5</v>
      </c>
      <c r="W15" s="14">
        <v>5</v>
      </c>
      <c r="X15" s="15">
        <v>5</v>
      </c>
      <c r="Y15" s="15">
        <v>5</v>
      </c>
      <c r="Z15" s="15">
        <v>5</v>
      </c>
      <c r="AA15" s="15">
        <v>5</v>
      </c>
      <c r="AB15" s="15">
        <v>5</v>
      </c>
      <c r="AC15" s="15">
        <v>5</v>
      </c>
      <c r="AD15" s="15">
        <v>5</v>
      </c>
      <c r="AE15" s="15">
        <v>5</v>
      </c>
      <c r="AF15" s="15">
        <v>5</v>
      </c>
      <c r="AG15" s="15">
        <v>5</v>
      </c>
      <c r="AH15" s="15">
        <v>5</v>
      </c>
      <c r="AI15" s="15">
        <v>5</v>
      </c>
      <c r="AJ15" s="15">
        <v>5</v>
      </c>
      <c r="AK15" s="15">
        <v>5</v>
      </c>
      <c r="AL15" s="15">
        <v>5</v>
      </c>
      <c r="AM15" s="15">
        <v>5</v>
      </c>
      <c r="AN15" s="15">
        <v>5</v>
      </c>
      <c r="AO15" s="15">
        <v>5</v>
      </c>
      <c r="AP15" s="15">
        <v>5</v>
      </c>
      <c r="AQ15" s="15">
        <v>5</v>
      </c>
      <c r="AR15" s="15">
        <v>5</v>
      </c>
      <c r="AS15" s="15">
        <v>5</v>
      </c>
      <c r="AT15" s="15">
        <v>5</v>
      </c>
      <c r="AU15" s="15">
        <v>5</v>
      </c>
      <c r="AV15" s="15"/>
      <c r="AW15" s="15"/>
      <c r="AX15" s="15"/>
      <c r="AY15" s="16"/>
      <c r="AZ15" s="15"/>
      <c r="BA15" s="15"/>
      <c r="BB15" s="15"/>
      <c r="BC15" s="16"/>
      <c r="BD15" s="15"/>
      <c r="BE15" s="15"/>
      <c r="BF15" s="15"/>
      <c r="BG15" s="16"/>
      <c r="BH15" s="15"/>
      <c r="BI15" s="15"/>
      <c r="BJ15" s="15"/>
      <c r="BK15" s="16"/>
      <c r="BL15" s="15"/>
      <c r="BM15" s="15"/>
      <c r="BN15" s="15"/>
      <c r="BO15" s="16"/>
      <c r="BP15" s="15"/>
      <c r="BQ15" s="15"/>
      <c r="BR15" s="15"/>
      <c r="BS15" s="16"/>
      <c r="BT15" s="15"/>
      <c r="BU15" s="15"/>
      <c r="BV15" s="15"/>
      <c r="BW15" s="16"/>
      <c r="BX15" s="15"/>
      <c r="BY15" s="15"/>
      <c r="BZ15" s="15"/>
      <c r="CA15" s="17"/>
      <c r="CB15" s="19">
        <v>5</v>
      </c>
      <c r="CC15" s="19"/>
      <c r="CD15" s="19">
        <v>10</v>
      </c>
      <c r="CE15" s="19"/>
      <c r="CF15" s="20">
        <v>5</v>
      </c>
      <c r="CG15" s="21">
        <f t="shared" ref="CG15:CJ15" si="12">AVERAGE(BX15,BT15,BP15,BL15,BH15,BD15,AZ15,AV15,AR15,AN15,AJ15,AF15,AB15,X15,T15,P15,L15,H15,D15)</f>
        <v>5</v>
      </c>
      <c r="CH15" s="22">
        <f t="shared" si="12"/>
        <v>5</v>
      </c>
      <c r="CI15" s="22">
        <f t="shared" si="12"/>
        <v>5</v>
      </c>
      <c r="CJ15" s="22">
        <f t="shared" si="12"/>
        <v>5</v>
      </c>
      <c r="CK15" s="22">
        <f>(' Follow Up 1st'!$CB15+' Follow Up 1st'!$CC15)/2</f>
        <v>2.5</v>
      </c>
      <c r="CL15" s="22">
        <f>(' Follow Up 1st'!$CD15+' Follow Up 1st'!$CE15)/2</f>
        <v>5</v>
      </c>
      <c r="CM15" s="24">
        <v>5</v>
      </c>
    </row>
    <row r="16" spans="1:91" ht="18.75" customHeight="1" x14ac:dyDescent="0.55000000000000004">
      <c r="A16" s="10">
        <v>14</v>
      </c>
      <c r="B16" s="25" t="s">
        <v>51</v>
      </c>
      <c r="C16" s="25" t="s">
        <v>38</v>
      </c>
      <c r="D16" s="12">
        <v>5</v>
      </c>
      <c r="E16" s="12">
        <v>5</v>
      </c>
      <c r="F16" s="12">
        <v>5</v>
      </c>
      <c r="G16" s="13">
        <v>5</v>
      </c>
      <c r="H16" s="13">
        <v>5</v>
      </c>
      <c r="I16" s="13">
        <v>5</v>
      </c>
      <c r="J16" s="13">
        <v>5</v>
      </c>
      <c r="K16" s="13">
        <v>5</v>
      </c>
      <c r="L16" s="13">
        <v>5</v>
      </c>
      <c r="M16" s="13">
        <v>5</v>
      </c>
      <c r="N16" s="13">
        <v>5</v>
      </c>
      <c r="O16" s="13">
        <v>5</v>
      </c>
      <c r="P16" s="12">
        <v>5</v>
      </c>
      <c r="Q16" s="12">
        <v>5</v>
      </c>
      <c r="R16" s="12">
        <v>5</v>
      </c>
      <c r="S16" s="13">
        <v>5</v>
      </c>
      <c r="T16" s="14">
        <v>5</v>
      </c>
      <c r="U16" s="14">
        <v>5</v>
      </c>
      <c r="V16" s="14">
        <v>5</v>
      </c>
      <c r="W16" s="14">
        <v>5</v>
      </c>
      <c r="X16" s="15">
        <v>5</v>
      </c>
      <c r="Y16" s="15">
        <v>5</v>
      </c>
      <c r="Z16" s="15">
        <v>5</v>
      </c>
      <c r="AA16" s="15">
        <v>5</v>
      </c>
      <c r="AB16" s="15">
        <v>5</v>
      </c>
      <c r="AC16" s="15">
        <v>5</v>
      </c>
      <c r="AD16" s="15">
        <v>5</v>
      </c>
      <c r="AE16" s="15">
        <v>5</v>
      </c>
      <c r="AF16" s="15">
        <v>5</v>
      </c>
      <c r="AG16" s="15">
        <v>5</v>
      </c>
      <c r="AH16" s="15">
        <v>5</v>
      </c>
      <c r="AI16" s="15">
        <v>5</v>
      </c>
      <c r="AJ16" s="15">
        <v>5</v>
      </c>
      <c r="AK16" s="15">
        <v>5</v>
      </c>
      <c r="AL16" s="15">
        <v>5</v>
      </c>
      <c r="AM16" s="15">
        <v>5</v>
      </c>
      <c r="AN16" s="15">
        <v>5</v>
      </c>
      <c r="AO16" s="15">
        <v>5</v>
      </c>
      <c r="AP16" s="15">
        <v>5</v>
      </c>
      <c r="AQ16" s="15">
        <v>5</v>
      </c>
      <c r="AR16" s="15">
        <v>5</v>
      </c>
      <c r="AS16" s="15">
        <v>5</v>
      </c>
      <c r="AT16" s="15">
        <v>5</v>
      </c>
      <c r="AU16" s="15">
        <v>5</v>
      </c>
      <c r="AV16" s="15"/>
      <c r="AW16" s="15"/>
      <c r="AX16" s="15"/>
      <c r="AY16" s="16"/>
      <c r="AZ16" s="15"/>
      <c r="BA16" s="15"/>
      <c r="BB16" s="15"/>
      <c r="BC16" s="16"/>
      <c r="BD16" s="15"/>
      <c r="BE16" s="15"/>
      <c r="BF16" s="15"/>
      <c r="BG16" s="16"/>
      <c r="BH16" s="15"/>
      <c r="BI16" s="15"/>
      <c r="BJ16" s="15"/>
      <c r="BK16" s="16"/>
      <c r="BL16" s="15"/>
      <c r="BM16" s="15"/>
      <c r="BN16" s="15"/>
      <c r="BO16" s="16"/>
      <c r="BP16" s="15"/>
      <c r="BQ16" s="15"/>
      <c r="BR16" s="15"/>
      <c r="BS16" s="16"/>
      <c r="BT16" s="15"/>
      <c r="BU16" s="15"/>
      <c r="BV16" s="15"/>
      <c r="BW16" s="16"/>
      <c r="BX16" s="15"/>
      <c r="BY16" s="15"/>
      <c r="BZ16" s="15"/>
      <c r="CA16" s="17"/>
      <c r="CB16" s="18">
        <v>45752</v>
      </c>
      <c r="CC16" s="19"/>
      <c r="CD16" s="18">
        <v>45813</v>
      </c>
      <c r="CE16" s="19"/>
      <c r="CF16" s="20">
        <v>5</v>
      </c>
      <c r="CG16" s="21">
        <f t="shared" ref="CG16:CJ16" si="13">AVERAGE(BX16,BT16,BP16,BL16,BH16,BD16,AZ16,AV16,AR16,AN16,AJ16,AF16,AB16,X16,T16,P16,L16,H16,D16)</f>
        <v>5</v>
      </c>
      <c r="CH16" s="22">
        <f t="shared" si="13"/>
        <v>5</v>
      </c>
      <c r="CI16" s="22">
        <f t="shared" si="13"/>
        <v>5</v>
      </c>
      <c r="CJ16" s="22">
        <f t="shared" si="13"/>
        <v>5</v>
      </c>
      <c r="CK16" s="23">
        <f>(' Follow Up 1st'!$CB16+' Follow Up 1st'!$CC16)/2</f>
        <v>22876</v>
      </c>
      <c r="CL16" s="23">
        <f>(' Follow Up 1st'!$CD16+' Follow Up 1st'!$CE16)/2</f>
        <v>22906.5</v>
      </c>
      <c r="CM16" s="24">
        <v>5</v>
      </c>
    </row>
    <row r="17" spans="1:91" ht="18.75" customHeight="1" x14ac:dyDescent="0.55000000000000004">
      <c r="A17" s="10">
        <v>15</v>
      </c>
      <c r="B17" s="25" t="s">
        <v>52</v>
      </c>
      <c r="C17" s="25" t="s">
        <v>38</v>
      </c>
      <c r="D17" s="12">
        <v>5</v>
      </c>
      <c r="E17" s="12">
        <v>5</v>
      </c>
      <c r="F17" s="12">
        <v>5</v>
      </c>
      <c r="G17" s="13">
        <v>5</v>
      </c>
      <c r="H17" s="13">
        <v>5</v>
      </c>
      <c r="I17" s="13">
        <v>5</v>
      </c>
      <c r="J17" s="13">
        <v>5</v>
      </c>
      <c r="K17" s="13">
        <v>5</v>
      </c>
      <c r="L17" s="13">
        <v>5</v>
      </c>
      <c r="M17" s="13">
        <v>5</v>
      </c>
      <c r="N17" s="13">
        <v>5</v>
      </c>
      <c r="O17" s="13">
        <v>5</v>
      </c>
      <c r="P17" s="12">
        <v>5</v>
      </c>
      <c r="Q17" s="12">
        <v>5</v>
      </c>
      <c r="R17" s="12">
        <v>5</v>
      </c>
      <c r="S17" s="13">
        <v>5</v>
      </c>
      <c r="T17" s="14">
        <v>5</v>
      </c>
      <c r="U17" s="14">
        <v>5</v>
      </c>
      <c r="V17" s="14">
        <v>5</v>
      </c>
      <c r="W17" s="14">
        <v>5</v>
      </c>
      <c r="X17" s="26">
        <v>45693</v>
      </c>
      <c r="Y17" s="15">
        <v>5</v>
      </c>
      <c r="Z17" s="15">
        <v>5</v>
      </c>
      <c r="AA17" s="15">
        <v>5</v>
      </c>
      <c r="AB17" s="15">
        <v>5</v>
      </c>
      <c r="AC17" s="15">
        <v>5</v>
      </c>
      <c r="AD17" s="15">
        <v>5</v>
      </c>
      <c r="AE17" s="15">
        <v>5</v>
      </c>
      <c r="AF17" s="15">
        <v>5</v>
      </c>
      <c r="AG17" s="15">
        <v>5</v>
      </c>
      <c r="AH17" s="15">
        <v>5</v>
      </c>
      <c r="AI17" s="15">
        <v>5</v>
      </c>
      <c r="AJ17" s="15">
        <v>5</v>
      </c>
      <c r="AK17" s="15">
        <v>5</v>
      </c>
      <c r="AL17" s="15">
        <v>5</v>
      </c>
      <c r="AM17" s="15">
        <v>5</v>
      </c>
      <c r="AN17" s="15">
        <v>5</v>
      </c>
      <c r="AO17" s="15">
        <v>5</v>
      </c>
      <c r="AP17" s="15">
        <v>5</v>
      </c>
      <c r="AQ17" s="15">
        <v>5</v>
      </c>
      <c r="AR17" s="15">
        <v>5</v>
      </c>
      <c r="AS17" s="15">
        <v>5</v>
      </c>
      <c r="AT17" s="15">
        <v>5</v>
      </c>
      <c r="AU17" s="15">
        <v>5</v>
      </c>
      <c r="AV17" s="15"/>
      <c r="AW17" s="15"/>
      <c r="AX17" s="15"/>
      <c r="AY17" s="16"/>
      <c r="AZ17" s="15"/>
      <c r="BA17" s="15"/>
      <c r="BB17" s="15"/>
      <c r="BC17" s="16"/>
      <c r="BD17" s="15"/>
      <c r="BE17" s="15"/>
      <c r="BF17" s="15"/>
      <c r="BG17" s="16"/>
      <c r="BH17" s="15"/>
      <c r="BI17" s="15"/>
      <c r="BJ17" s="15"/>
      <c r="BK17" s="16"/>
      <c r="BL17" s="15"/>
      <c r="BM17" s="15"/>
      <c r="BN17" s="15"/>
      <c r="BO17" s="16"/>
      <c r="BP17" s="15"/>
      <c r="BQ17" s="15"/>
      <c r="BR17" s="15"/>
      <c r="BS17" s="16"/>
      <c r="BT17" s="15"/>
      <c r="BU17" s="15"/>
      <c r="BV17" s="15"/>
      <c r="BW17" s="16"/>
      <c r="BX17" s="15"/>
      <c r="BY17" s="15"/>
      <c r="BZ17" s="15"/>
      <c r="CA17" s="17"/>
      <c r="CB17" s="19">
        <v>5</v>
      </c>
      <c r="CC17" s="19"/>
      <c r="CD17" s="19">
        <v>7</v>
      </c>
      <c r="CE17" s="19"/>
      <c r="CF17" s="20">
        <v>5</v>
      </c>
      <c r="CG17" s="21">
        <f t="shared" ref="CG17:CJ17" si="14">AVERAGE(BX17,BT17,BP17,BL17,BH17,BD17,AZ17,AV17,AR17,AN17,AJ17,AF17,AB17,X17,T17,P17,L17,H17,D17)</f>
        <v>4158.454545454545</v>
      </c>
      <c r="CH17" s="22">
        <f t="shared" si="14"/>
        <v>5</v>
      </c>
      <c r="CI17" s="22">
        <f t="shared" si="14"/>
        <v>5</v>
      </c>
      <c r="CJ17" s="22">
        <f t="shared" si="14"/>
        <v>5</v>
      </c>
      <c r="CK17" s="22">
        <f>(' Follow Up 1st'!$CB17+' Follow Up 1st'!$CC17)/2</f>
        <v>2.5</v>
      </c>
      <c r="CL17" s="22">
        <f>(' Follow Up 1st'!$CD17+' Follow Up 1st'!$CE17)/2</f>
        <v>3.5</v>
      </c>
      <c r="CM17" s="24">
        <v>5</v>
      </c>
    </row>
    <row r="18" spans="1:91" ht="18.75" customHeight="1" x14ac:dyDescent="0.55000000000000004">
      <c r="A18" s="10">
        <v>16</v>
      </c>
      <c r="B18" s="25" t="s">
        <v>53</v>
      </c>
      <c r="C18" s="25" t="s">
        <v>38</v>
      </c>
      <c r="D18" s="12">
        <v>5</v>
      </c>
      <c r="E18" s="12">
        <v>5</v>
      </c>
      <c r="F18" s="12">
        <v>5</v>
      </c>
      <c r="G18" s="13">
        <v>5</v>
      </c>
      <c r="H18" s="13">
        <v>5</v>
      </c>
      <c r="I18" s="13">
        <v>5</v>
      </c>
      <c r="J18" s="13">
        <v>5</v>
      </c>
      <c r="K18" s="13">
        <v>5</v>
      </c>
      <c r="L18" s="13">
        <v>5</v>
      </c>
      <c r="M18" s="13">
        <v>5</v>
      </c>
      <c r="N18" s="13">
        <v>5</v>
      </c>
      <c r="O18" s="13">
        <v>5</v>
      </c>
      <c r="P18" s="12">
        <v>5</v>
      </c>
      <c r="Q18" s="12">
        <v>5</v>
      </c>
      <c r="R18" s="12">
        <v>5</v>
      </c>
      <c r="S18" s="13">
        <v>5</v>
      </c>
      <c r="T18" s="14">
        <v>5</v>
      </c>
      <c r="U18" s="14">
        <v>5</v>
      </c>
      <c r="V18" s="14">
        <v>5</v>
      </c>
      <c r="W18" s="14">
        <v>5</v>
      </c>
      <c r="X18" s="15">
        <v>5</v>
      </c>
      <c r="Y18" s="15">
        <v>5</v>
      </c>
      <c r="Z18" s="15">
        <v>5</v>
      </c>
      <c r="AA18" s="15">
        <v>5</v>
      </c>
      <c r="AB18" s="15">
        <v>5</v>
      </c>
      <c r="AC18" s="15">
        <v>5</v>
      </c>
      <c r="AD18" s="15">
        <v>5</v>
      </c>
      <c r="AE18" s="15">
        <v>5</v>
      </c>
      <c r="AF18" s="15">
        <v>5</v>
      </c>
      <c r="AG18" s="15">
        <v>5</v>
      </c>
      <c r="AH18" s="15">
        <v>5</v>
      </c>
      <c r="AI18" s="15">
        <v>5</v>
      </c>
      <c r="AJ18" s="15">
        <v>5</v>
      </c>
      <c r="AK18" s="15">
        <v>5</v>
      </c>
      <c r="AL18" s="15">
        <v>5</v>
      </c>
      <c r="AM18" s="15">
        <v>5</v>
      </c>
      <c r="AN18" s="15">
        <v>5</v>
      </c>
      <c r="AO18" s="15">
        <v>5</v>
      </c>
      <c r="AP18" s="15">
        <v>5</v>
      </c>
      <c r="AQ18" s="15">
        <v>5</v>
      </c>
      <c r="AR18" s="15">
        <v>5</v>
      </c>
      <c r="AS18" s="15">
        <v>5</v>
      </c>
      <c r="AT18" s="15">
        <v>5</v>
      </c>
      <c r="AU18" s="15">
        <v>5</v>
      </c>
      <c r="AV18" s="15"/>
      <c r="AW18" s="15"/>
      <c r="AX18" s="15"/>
      <c r="AY18" s="16"/>
      <c r="AZ18" s="15"/>
      <c r="BA18" s="15"/>
      <c r="BB18" s="15"/>
      <c r="BC18" s="16"/>
      <c r="BD18" s="15"/>
      <c r="BE18" s="15"/>
      <c r="BF18" s="15"/>
      <c r="BG18" s="16"/>
      <c r="BH18" s="15"/>
      <c r="BI18" s="15"/>
      <c r="BJ18" s="15"/>
      <c r="BK18" s="16"/>
      <c r="BL18" s="15"/>
      <c r="BM18" s="15"/>
      <c r="BN18" s="15"/>
      <c r="BO18" s="16"/>
      <c r="BP18" s="15"/>
      <c r="BQ18" s="15"/>
      <c r="BR18" s="15"/>
      <c r="BS18" s="16"/>
      <c r="BT18" s="15"/>
      <c r="BU18" s="15"/>
      <c r="BV18" s="15"/>
      <c r="BW18" s="16"/>
      <c r="BX18" s="15"/>
      <c r="BY18" s="15"/>
      <c r="BZ18" s="15"/>
      <c r="CA18" s="17"/>
      <c r="CB18" s="19">
        <v>5</v>
      </c>
      <c r="CC18" s="19"/>
      <c r="CD18" s="18">
        <v>45874</v>
      </c>
      <c r="CE18" s="19"/>
      <c r="CF18" s="20">
        <v>5</v>
      </c>
      <c r="CG18" s="21">
        <f t="shared" ref="CG18:CJ18" si="15">AVERAGE(BX18,BT18,BP18,BL18,BH18,BD18,AZ18,AV18,AR18,AN18,AJ18,AF18,AB18,X18,T18,P18,L18,H18,D18)</f>
        <v>5</v>
      </c>
      <c r="CH18" s="22">
        <f t="shared" si="15"/>
        <v>5</v>
      </c>
      <c r="CI18" s="22">
        <f t="shared" si="15"/>
        <v>5</v>
      </c>
      <c r="CJ18" s="22">
        <f t="shared" si="15"/>
        <v>5</v>
      </c>
      <c r="CK18" s="22">
        <f>(' Follow Up 1st'!$CB18+' Follow Up 1st'!$CC18)/2</f>
        <v>2.5</v>
      </c>
      <c r="CL18" s="23">
        <f>(' Follow Up 1st'!$CD18+' Follow Up 1st'!$CE18)/2</f>
        <v>22937</v>
      </c>
      <c r="CM18" s="24">
        <v>5</v>
      </c>
    </row>
    <row r="19" spans="1:91" ht="18.75" customHeight="1" x14ac:dyDescent="0.55000000000000004">
      <c r="A19" s="10">
        <v>17</v>
      </c>
      <c r="B19" s="25" t="s">
        <v>54</v>
      </c>
      <c r="C19" s="25" t="s">
        <v>38</v>
      </c>
      <c r="D19" s="12">
        <v>5</v>
      </c>
      <c r="E19" s="12">
        <v>5</v>
      </c>
      <c r="F19" s="12">
        <v>5</v>
      </c>
      <c r="G19" s="13">
        <v>5</v>
      </c>
      <c r="H19" s="13">
        <v>5</v>
      </c>
      <c r="I19" s="13">
        <v>5</v>
      </c>
      <c r="J19" s="13">
        <v>5</v>
      </c>
      <c r="K19" s="13">
        <v>5</v>
      </c>
      <c r="L19" s="13">
        <v>5</v>
      </c>
      <c r="M19" s="13">
        <v>5</v>
      </c>
      <c r="N19" s="13">
        <v>5</v>
      </c>
      <c r="O19" s="13">
        <v>5</v>
      </c>
      <c r="P19" s="12">
        <v>5</v>
      </c>
      <c r="Q19" s="12">
        <v>5</v>
      </c>
      <c r="R19" s="12">
        <v>5</v>
      </c>
      <c r="S19" s="13">
        <v>5</v>
      </c>
      <c r="T19" s="14">
        <v>5</v>
      </c>
      <c r="U19" s="14">
        <v>5</v>
      </c>
      <c r="V19" s="14">
        <v>5</v>
      </c>
      <c r="W19" s="14">
        <v>5</v>
      </c>
      <c r="X19" s="15">
        <v>5</v>
      </c>
      <c r="Y19" s="15">
        <v>5</v>
      </c>
      <c r="Z19" s="15">
        <v>5</v>
      </c>
      <c r="AA19" s="15">
        <v>5</v>
      </c>
      <c r="AB19" s="15">
        <v>5</v>
      </c>
      <c r="AC19" s="15">
        <v>5</v>
      </c>
      <c r="AD19" s="15">
        <v>5</v>
      </c>
      <c r="AE19" s="15">
        <v>5</v>
      </c>
      <c r="AF19" s="15">
        <v>5</v>
      </c>
      <c r="AG19" s="15">
        <v>5</v>
      </c>
      <c r="AH19" s="15">
        <v>5</v>
      </c>
      <c r="AI19" s="15">
        <v>5</v>
      </c>
      <c r="AJ19" s="15">
        <v>5</v>
      </c>
      <c r="AK19" s="15">
        <v>5</v>
      </c>
      <c r="AL19" s="15">
        <v>5</v>
      </c>
      <c r="AM19" s="15">
        <v>5</v>
      </c>
      <c r="AN19" s="15">
        <v>5</v>
      </c>
      <c r="AO19" s="15">
        <v>5</v>
      </c>
      <c r="AP19" s="15">
        <v>5</v>
      </c>
      <c r="AQ19" s="15">
        <v>5</v>
      </c>
      <c r="AR19" s="15">
        <v>5</v>
      </c>
      <c r="AS19" s="15">
        <v>5</v>
      </c>
      <c r="AT19" s="15">
        <v>5</v>
      </c>
      <c r="AU19" s="15">
        <v>5</v>
      </c>
      <c r="AV19" s="15"/>
      <c r="AW19" s="15"/>
      <c r="AX19" s="15"/>
      <c r="AY19" s="16"/>
      <c r="AZ19" s="15"/>
      <c r="BA19" s="15"/>
      <c r="BB19" s="15"/>
      <c r="BC19" s="16"/>
      <c r="BD19" s="15"/>
      <c r="BE19" s="15"/>
      <c r="BF19" s="15"/>
      <c r="BG19" s="16"/>
      <c r="BH19" s="15"/>
      <c r="BI19" s="15"/>
      <c r="BJ19" s="15"/>
      <c r="BK19" s="16"/>
      <c r="BL19" s="15"/>
      <c r="BM19" s="15"/>
      <c r="BN19" s="15"/>
      <c r="BO19" s="16"/>
      <c r="BP19" s="15"/>
      <c r="BQ19" s="15"/>
      <c r="BR19" s="15"/>
      <c r="BS19" s="16"/>
      <c r="BT19" s="15"/>
      <c r="BU19" s="15"/>
      <c r="BV19" s="15"/>
      <c r="BW19" s="16"/>
      <c r="BX19" s="15"/>
      <c r="BY19" s="15"/>
      <c r="BZ19" s="15"/>
      <c r="CA19" s="17"/>
      <c r="CB19" s="18">
        <v>45752</v>
      </c>
      <c r="CC19" s="19"/>
      <c r="CD19" s="18">
        <v>45874</v>
      </c>
      <c r="CE19" s="19"/>
      <c r="CF19" s="20">
        <v>5</v>
      </c>
      <c r="CG19" s="21">
        <f t="shared" ref="CG19:CJ19" si="16">AVERAGE(BX19,BT19,BP19,BL19,BH19,BD19,AZ19,AV19,AR19,AN19,AJ19,AF19,AB19,X19,T19,P19,L19,H19,D19)</f>
        <v>5</v>
      </c>
      <c r="CH19" s="22">
        <f t="shared" si="16"/>
        <v>5</v>
      </c>
      <c r="CI19" s="22">
        <f t="shared" si="16"/>
        <v>5</v>
      </c>
      <c r="CJ19" s="22">
        <f t="shared" si="16"/>
        <v>5</v>
      </c>
      <c r="CK19" s="23">
        <f>(' Follow Up 1st'!$CB19+' Follow Up 1st'!$CC19)/2</f>
        <v>22876</v>
      </c>
      <c r="CL19" s="23">
        <f>(' Follow Up 1st'!$CD19+' Follow Up 1st'!$CE19)/2</f>
        <v>22937</v>
      </c>
      <c r="CM19" s="24">
        <v>5</v>
      </c>
    </row>
    <row r="20" spans="1:91" ht="18.75" customHeight="1" x14ac:dyDescent="0.55000000000000004">
      <c r="A20" s="10">
        <v>18</v>
      </c>
      <c r="B20" s="25" t="s">
        <v>55</v>
      </c>
      <c r="C20" s="25" t="s">
        <v>38</v>
      </c>
      <c r="D20" s="12">
        <v>5</v>
      </c>
      <c r="E20" s="12">
        <v>5</v>
      </c>
      <c r="F20" s="12">
        <v>5</v>
      </c>
      <c r="G20" s="13">
        <v>5</v>
      </c>
      <c r="H20" s="13">
        <v>5</v>
      </c>
      <c r="I20" s="13">
        <v>5</v>
      </c>
      <c r="J20" s="13">
        <v>5</v>
      </c>
      <c r="K20" s="13">
        <v>5</v>
      </c>
      <c r="L20" s="13">
        <v>5</v>
      </c>
      <c r="M20" s="13">
        <v>5</v>
      </c>
      <c r="N20" s="13">
        <v>5</v>
      </c>
      <c r="O20" s="13">
        <v>5</v>
      </c>
      <c r="P20" s="12">
        <v>5</v>
      </c>
      <c r="Q20" s="12">
        <v>5</v>
      </c>
      <c r="R20" s="12">
        <v>5</v>
      </c>
      <c r="S20" s="13">
        <v>5</v>
      </c>
      <c r="T20" s="14">
        <v>5</v>
      </c>
      <c r="U20" s="14">
        <v>5</v>
      </c>
      <c r="V20" s="14">
        <v>5</v>
      </c>
      <c r="W20" s="14">
        <v>5</v>
      </c>
      <c r="X20" s="15">
        <v>5</v>
      </c>
      <c r="Y20" s="15">
        <v>5</v>
      </c>
      <c r="Z20" s="15">
        <v>5</v>
      </c>
      <c r="AA20" s="15">
        <v>5</v>
      </c>
      <c r="AB20" s="15">
        <v>5</v>
      </c>
      <c r="AC20" s="15">
        <v>5</v>
      </c>
      <c r="AD20" s="15">
        <v>5</v>
      </c>
      <c r="AE20" s="15">
        <v>5</v>
      </c>
      <c r="AF20" s="15">
        <v>5</v>
      </c>
      <c r="AG20" s="15">
        <v>5</v>
      </c>
      <c r="AH20" s="15">
        <v>5</v>
      </c>
      <c r="AI20" s="15">
        <v>5</v>
      </c>
      <c r="AJ20" s="15">
        <v>5</v>
      </c>
      <c r="AK20" s="15">
        <v>5</v>
      </c>
      <c r="AL20" s="15">
        <v>5</v>
      </c>
      <c r="AM20" s="15">
        <v>5</v>
      </c>
      <c r="AN20" s="15">
        <v>5</v>
      </c>
      <c r="AO20" s="15">
        <v>5</v>
      </c>
      <c r="AP20" s="15">
        <v>5</v>
      </c>
      <c r="AQ20" s="15">
        <v>5</v>
      </c>
      <c r="AR20" s="15">
        <v>5</v>
      </c>
      <c r="AS20" s="15">
        <v>5</v>
      </c>
      <c r="AT20" s="15">
        <v>5</v>
      </c>
      <c r="AU20" s="15">
        <v>5</v>
      </c>
      <c r="AV20" s="15"/>
      <c r="AW20" s="15"/>
      <c r="AX20" s="15"/>
      <c r="AY20" s="16"/>
      <c r="AZ20" s="15"/>
      <c r="BA20" s="15"/>
      <c r="BB20" s="15"/>
      <c r="BC20" s="16"/>
      <c r="BD20" s="15"/>
      <c r="BE20" s="15"/>
      <c r="BF20" s="15"/>
      <c r="BG20" s="16"/>
      <c r="BH20" s="15"/>
      <c r="BI20" s="15"/>
      <c r="BJ20" s="15"/>
      <c r="BK20" s="16"/>
      <c r="BL20" s="15"/>
      <c r="BM20" s="15"/>
      <c r="BN20" s="15"/>
      <c r="BO20" s="16"/>
      <c r="BP20" s="15"/>
      <c r="BQ20" s="15"/>
      <c r="BR20" s="15"/>
      <c r="BS20" s="16"/>
      <c r="BT20" s="15"/>
      <c r="BU20" s="15"/>
      <c r="BV20" s="15"/>
      <c r="BW20" s="16"/>
      <c r="BX20" s="15"/>
      <c r="BY20" s="15"/>
      <c r="BZ20" s="15"/>
      <c r="CA20" s="17"/>
      <c r="CB20" s="19">
        <v>5</v>
      </c>
      <c r="CC20" s="19"/>
      <c r="CD20" s="18">
        <v>45874</v>
      </c>
      <c r="CE20" s="19"/>
      <c r="CF20" s="20">
        <v>5</v>
      </c>
      <c r="CG20" s="21">
        <f t="shared" ref="CG20:CJ20" si="17">AVERAGE(BX20,BT20,BP20,BL20,BH20,BD20,AZ20,AV20,AR20,AN20,AJ20,AF20,AB20,X20,T20,P20,L20,H20,D20)</f>
        <v>5</v>
      </c>
      <c r="CH20" s="22">
        <f t="shared" si="17"/>
        <v>5</v>
      </c>
      <c r="CI20" s="22">
        <f t="shared" si="17"/>
        <v>5</v>
      </c>
      <c r="CJ20" s="22">
        <f t="shared" si="17"/>
        <v>5</v>
      </c>
      <c r="CK20" s="22">
        <f>(' Follow Up 1st'!$CB20+' Follow Up 1st'!$CC20)/2</f>
        <v>2.5</v>
      </c>
      <c r="CL20" s="23">
        <f>(' Follow Up 1st'!$CD20+' Follow Up 1st'!$CE20)/2</f>
        <v>22937</v>
      </c>
      <c r="CM20" s="24">
        <v>5</v>
      </c>
    </row>
    <row r="21" spans="1:91" ht="18.75" customHeight="1" x14ac:dyDescent="0.55000000000000004">
      <c r="A21" s="10">
        <v>19</v>
      </c>
      <c r="B21" s="25" t="s">
        <v>56</v>
      </c>
      <c r="C21" s="25" t="s">
        <v>38</v>
      </c>
      <c r="D21" s="12">
        <v>5</v>
      </c>
      <c r="E21" s="12">
        <v>5</v>
      </c>
      <c r="F21" s="12">
        <v>5</v>
      </c>
      <c r="G21" s="13">
        <v>5</v>
      </c>
      <c r="H21" s="13">
        <v>5</v>
      </c>
      <c r="I21" s="13">
        <v>5</v>
      </c>
      <c r="J21" s="13">
        <v>5</v>
      </c>
      <c r="K21" s="13">
        <v>5</v>
      </c>
      <c r="L21" s="13">
        <v>5</v>
      </c>
      <c r="M21" s="13">
        <v>5</v>
      </c>
      <c r="N21" s="13">
        <v>5</v>
      </c>
      <c r="O21" s="13">
        <v>5</v>
      </c>
      <c r="P21" s="12">
        <v>5</v>
      </c>
      <c r="Q21" s="12">
        <v>5</v>
      </c>
      <c r="R21" s="12">
        <v>5</v>
      </c>
      <c r="S21" s="13">
        <v>5</v>
      </c>
      <c r="T21" s="14">
        <v>5</v>
      </c>
      <c r="U21" s="14">
        <v>5</v>
      </c>
      <c r="V21" s="14">
        <v>5</v>
      </c>
      <c r="W21" s="14">
        <v>5</v>
      </c>
      <c r="X21" s="15">
        <v>5</v>
      </c>
      <c r="Y21" s="15">
        <v>5</v>
      </c>
      <c r="Z21" s="15">
        <v>5</v>
      </c>
      <c r="AA21" s="15">
        <v>5</v>
      </c>
      <c r="AB21" s="15">
        <v>5</v>
      </c>
      <c r="AC21" s="15">
        <v>5</v>
      </c>
      <c r="AD21" s="15">
        <v>5</v>
      </c>
      <c r="AE21" s="15">
        <v>5</v>
      </c>
      <c r="AF21" s="15">
        <v>5</v>
      </c>
      <c r="AG21" s="15">
        <v>5</v>
      </c>
      <c r="AH21" s="15">
        <v>5</v>
      </c>
      <c r="AI21" s="15">
        <v>5</v>
      </c>
      <c r="AJ21" s="15">
        <v>5</v>
      </c>
      <c r="AK21" s="15">
        <v>5</v>
      </c>
      <c r="AL21" s="15">
        <v>5</v>
      </c>
      <c r="AM21" s="15">
        <v>5</v>
      </c>
      <c r="AN21" s="15">
        <v>5</v>
      </c>
      <c r="AO21" s="15">
        <v>5</v>
      </c>
      <c r="AP21" s="15">
        <v>5</v>
      </c>
      <c r="AQ21" s="15">
        <v>5</v>
      </c>
      <c r="AR21" s="15">
        <v>5</v>
      </c>
      <c r="AS21" s="15">
        <v>5</v>
      </c>
      <c r="AT21" s="15">
        <v>5</v>
      </c>
      <c r="AU21" s="15">
        <v>5</v>
      </c>
      <c r="AV21" s="15"/>
      <c r="AW21" s="15"/>
      <c r="AX21" s="15"/>
      <c r="AY21" s="16"/>
      <c r="AZ21" s="15"/>
      <c r="BA21" s="15"/>
      <c r="BB21" s="15"/>
      <c r="BC21" s="16"/>
      <c r="BD21" s="15"/>
      <c r="BE21" s="15"/>
      <c r="BF21" s="15"/>
      <c r="BG21" s="16"/>
      <c r="BH21" s="15"/>
      <c r="BI21" s="15"/>
      <c r="BJ21" s="15"/>
      <c r="BK21" s="16"/>
      <c r="BL21" s="15"/>
      <c r="BM21" s="15"/>
      <c r="BN21" s="15"/>
      <c r="BO21" s="16"/>
      <c r="BP21" s="15"/>
      <c r="BQ21" s="15"/>
      <c r="BR21" s="15"/>
      <c r="BS21" s="16"/>
      <c r="BT21" s="15"/>
      <c r="BU21" s="15"/>
      <c r="BV21" s="15"/>
      <c r="BW21" s="16"/>
      <c r="BX21" s="15"/>
      <c r="BY21" s="15"/>
      <c r="BZ21" s="15"/>
      <c r="CA21" s="17"/>
      <c r="CB21" s="19">
        <v>5</v>
      </c>
      <c r="CC21" s="19"/>
      <c r="CD21" s="18">
        <v>45905</v>
      </c>
      <c r="CE21" s="19"/>
      <c r="CF21" s="20">
        <v>5</v>
      </c>
      <c r="CG21" s="21">
        <f t="shared" ref="CG21:CJ21" si="18">AVERAGE(BX21,BT21,BP21,BL21,BH21,BD21,AZ21,AV21,AR21,AN21,AJ21,AF21,AB21,X21,T21,P21,L21,H21,D21)</f>
        <v>5</v>
      </c>
      <c r="CH21" s="22">
        <f t="shared" si="18"/>
        <v>5</v>
      </c>
      <c r="CI21" s="22">
        <f t="shared" si="18"/>
        <v>5</v>
      </c>
      <c r="CJ21" s="22">
        <f t="shared" si="18"/>
        <v>5</v>
      </c>
      <c r="CK21" s="22">
        <f>(' Follow Up 1st'!$CB21+' Follow Up 1st'!$CC21)/2</f>
        <v>2.5</v>
      </c>
      <c r="CL21" s="23">
        <f>(' Follow Up 1st'!$CD21+' Follow Up 1st'!$CE21)/2</f>
        <v>22952.5</v>
      </c>
      <c r="CM21" s="24">
        <v>5</v>
      </c>
    </row>
    <row r="22" spans="1:91" ht="18.75" customHeight="1" x14ac:dyDescent="0.55000000000000004">
      <c r="A22" s="10">
        <v>20</v>
      </c>
      <c r="B22" s="25" t="s">
        <v>57</v>
      </c>
      <c r="C22" s="25" t="s">
        <v>38</v>
      </c>
      <c r="D22" s="12">
        <v>5</v>
      </c>
      <c r="E22" s="12">
        <v>5</v>
      </c>
      <c r="F22" s="12">
        <v>5</v>
      </c>
      <c r="G22" s="13">
        <v>5</v>
      </c>
      <c r="H22" s="13">
        <v>5</v>
      </c>
      <c r="I22" s="13">
        <v>5</v>
      </c>
      <c r="J22" s="13">
        <v>5</v>
      </c>
      <c r="K22" s="13">
        <v>5</v>
      </c>
      <c r="L22" s="13">
        <v>5</v>
      </c>
      <c r="M22" s="13">
        <v>5</v>
      </c>
      <c r="N22" s="13">
        <v>5</v>
      </c>
      <c r="O22" s="13">
        <v>5</v>
      </c>
      <c r="P22" s="12">
        <v>5</v>
      </c>
      <c r="Q22" s="12">
        <v>5</v>
      </c>
      <c r="R22" s="12">
        <v>5</v>
      </c>
      <c r="S22" s="13">
        <v>5</v>
      </c>
      <c r="T22" s="14">
        <v>5</v>
      </c>
      <c r="U22" s="14">
        <v>5</v>
      </c>
      <c r="V22" s="14">
        <v>5</v>
      </c>
      <c r="W22" s="14">
        <v>5</v>
      </c>
      <c r="X22" s="15">
        <v>5</v>
      </c>
      <c r="Y22" s="15">
        <v>5</v>
      </c>
      <c r="Z22" s="15">
        <v>5</v>
      </c>
      <c r="AA22" s="15">
        <v>5</v>
      </c>
      <c r="AB22" s="15">
        <v>5</v>
      </c>
      <c r="AC22" s="15">
        <v>5</v>
      </c>
      <c r="AD22" s="15">
        <v>5</v>
      </c>
      <c r="AE22" s="15">
        <v>5</v>
      </c>
      <c r="AF22" s="15">
        <v>5</v>
      </c>
      <c r="AG22" s="15">
        <v>5</v>
      </c>
      <c r="AH22" s="15">
        <v>5</v>
      </c>
      <c r="AI22" s="15">
        <v>5</v>
      </c>
      <c r="AJ22" s="15">
        <v>5</v>
      </c>
      <c r="AK22" s="15">
        <v>5</v>
      </c>
      <c r="AL22" s="15">
        <v>5</v>
      </c>
      <c r="AM22" s="15">
        <v>5</v>
      </c>
      <c r="AN22" s="15">
        <v>5</v>
      </c>
      <c r="AO22" s="15">
        <v>5</v>
      </c>
      <c r="AP22" s="15">
        <v>5</v>
      </c>
      <c r="AQ22" s="15">
        <v>5</v>
      </c>
      <c r="AR22" s="15">
        <v>5</v>
      </c>
      <c r="AS22" s="15">
        <v>5</v>
      </c>
      <c r="AT22" s="15">
        <v>5</v>
      </c>
      <c r="AU22" s="15">
        <v>5</v>
      </c>
      <c r="AV22" s="15"/>
      <c r="AW22" s="15"/>
      <c r="AX22" s="15"/>
      <c r="AY22" s="16"/>
      <c r="AZ22" s="15"/>
      <c r="BA22" s="15"/>
      <c r="BB22" s="15"/>
      <c r="BC22" s="16"/>
      <c r="BD22" s="15"/>
      <c r="BE22" s="15"/>
      <c r="BF22" s="15"/>
      <c r="BG22" s="16"/>
      <c r="BH22" s="15"/>
      <c r="BI22" s="15"/>
      <c r="BJ22" s="15"/>
      <c r="BK22" s="16"/>
      <c r="BL22" s="15"/>
      <c r="BM22" s="15"/>
      <c r="BN22" s="15"/>
      <c r="BO22" s="16"/>
      <c r="BP22" s="15"/>
      <c r="BQ22" s="15"/>
      <c r="BR22" s="15"/>
      <c r="BS22" s="16"/>
      <c r="BT22" s="15"/>
      <c r="BU22" s="15"/>
      <c r="BV22" s="15"/>
      <c r="BW22" s="16"/>
      <c r="BX22" s="15"/>
      <c r="BY22" s="15"/>
      <c r="BZ22" s="15"/>
      <c r="CA22" s="17"/>
      <c r="CB22" s="19">
        <v>5</v>
      </c>
      <c r="CC22" s="19"/>
      <c r="CD22" s="19">
        <v>9</v>
      </c>
      <c r="CE22" s="19"/>
      <c r="CF22" s="20">
        <v>5</v>
      </c>
      <c r="CG22" s="21">
        <f t="shared" ref="CG22:CJ22" si="19">AVERAGE(BX22,BT22,BP22,BL22,BH22,BD22,AZ22,AV22,AR22,AN22,AJ22,AF22,AB22,X22,T22,P22,L22,H22,D22)</f>
        <v>5</v>
      </c>
      <c r="CH22" s="22">
        <f t="shared" si="19"/>
        <v>5</v>
      </c>
      <c r="CI22" s="22">
        <f t="shared" si="19"/>
        <v>5</v>
      </c>
      <c r="CJ22" s="22">
        <f t="shared" si="19"/>
        <v>5</v>
      </c>
      <c r="CK22" s="22">
        <f>(' Follow Up 1st'!$CB22+' Follow Up 1st'!$CC22)/2</f>
        <v>2.5</v>
      </c>
      <c r="CL22" s="22">
        <f>(' Follow Up 1st'!$CD22+' Follow Up 1st'!$CE22)/2</f>
        <v>4.5</v>
      </c>
      <c r="CM22" s="24">
        <v>5</v>
      </c>
    </row>
    <row r="23" spans="1:91" ht="18.75" customHeight="1" x14ac:dyDescent="0.55000000000000004">
      <c r="A23" s="10">
        <v>21</v>
      </c>
      <c r="B23" s="25" t="s">
        <v>58</v>
      </c>
      <c r="C23" s="25" t="s">
        <v>38</v>
      </c>
      <c r="D23" s="12">
        <v>5</v>
      </c>
      <c r="E23" s="12">
        <v>5</v>
      </c>
      <c r="F23" s="12">
        <v>5</v>
      </c>
      <c r="G23" s="13">
        <v>5</v>
      </c>
      <c r="H23" s="13">
        <v>5</v>
      </c>
      <c r="I23" s="13">
        <v>5</v>
      </c>
      <c r="J23" s="13">
        <v>5</v>
      </c>
      <c r="K23" s="13">
        <v>5</v>
      </c>
      <c r="L23" s="13">
        <v>5</v>
      </c>
      <c r="M23" s="13">
        <v>5</v>
      </c>
      <c r="N23" s="13">
        <v>5</v>
      </c>
      <c r="O23" s="13">
        <v>5</v>
      </c>
      <c r="P23" s="12">
        <v>5</v>
      </c>
      <c r="Q23" s="12">
        <v>5</v>
      </c>
      <c r="R23" s="12">
        <v>5</v>
      </c>
      <c r="S23" s="13">
        <v>5</v>
      </c>
      <c r="T23" s="14">
        <v>5</v>
      </c>
      <c r="U23" s="14">
        <v>5</v>
      </c>
      <c r="V23" s="14">
        <v>5</v>
      </c>
      <c r="W23" s="14">
        <v>5</v>
      </c>
      <c r="X23" s="15">
        <v>5</v>
      </c>
      <c r="Y23" s="15">
        <v>5</v>
      </c>
      <c r="Z23" s="15">
        <v>5</v>
      </c>
      <c r="AA23" s="15">
        <v>5</v>
      </c>
      <c r="AB23" s="15">
        <v>5</v>
      </c>
      <c r="AC23" s="15">
        <v>5</v>
      </c>
      <c r="AD23" s="15">
        <v>5</v>
      </c>
      <c r="AE23" s="15">
        <v>5</v>
      </c>
      <c r="AF23" s="15">
        <v>5</v>
      </c>
      <c r="AG23" s="15">
        <v>5</v>
      </c>
      <c r="AH23" s="15">
        <v>5</v>
      </c>
      <c r="AI23" s="15">
        <v>5</v>
      </c>
      <c r="AJ23" s="15">
        <v>5</v>
      </c>
      <c r="AK23" s="15">
        <v>5</v>
      </c>
      <c r="AL23" s="15">
        <v>5</v>
      </c>
      <c r="AM23" s="15">
        <v>5</v>
      </c>
      <c r="AN23" s="15">
        <v>5</v>
      </c>
      <c r="AO23" s="15">
        <v>5</v>
      </c>
      <c r="AP23" s="15">
        <v>5</v>
      </c>
      <c r="AQ23" s="15">
        <v>5</v>
      </c>
      <c r="AR23" s="15">
        <v>5</v>
      </c>
      <c r="AS23" s="15">
        <v>5</v>
      </c>
      <c r="AT23" s="15">
        <v>5</v>
      </c>
      <c r="AU23" s="15">
        <v>5</v>
      </c>
      <c r="AV23" s="15"/>
      <c r="AW23" s="15"/>
      <c r="AX23" s="15"/>
      <c r="AY23" s="16"/>
      <c r="AZ23" s="15"/>
      <c r="BA23" s="15"/>
      <c r="BB23" s="15"/>
      <c r="BC23" s="16"/>
      <c r="BD23" s="15"/>
      <c r="BE23" s="15"/>
      <c r="BF23" s="15"/>
      <c r="BG23" s="16"/>
      <c r="BH23" s="15"/>
      <c r="BI23" s="15"/>
      <c r="BJ23" s="15"/>
      <c r="BK23" s="16"/>
      <c r="BL23" s="15"/>
      <c r="BM23" s="15"/>
      <c r="BN23" s="15"/>
      <c r="BO23" s="16"/>
      <c r="BP23" s="15"/>
      <c r="BQ23" s="15"/>
      <c r="BR23" s="15"/>
      <c r="BS23" s="16"/>
      <c r="BT23" s="15"/>
      <c r="BU23" s="15"/>
      <c r="BV23" s="15"/>
      <c r="BW23" s="16"/>
      <c r="BX23" s="15"/>
      <c r="BY23" s="15"/>
      <c r="BZ23" s="15"/>
      <c r="CA23" s="17"/>
      <c r="CB23" s="19">
        <v>5</v>
      </c>
      <c r="CC23" s="19"/>
      <c r="CD23" s="18">
        <v>45813</v>
      </c>
      <c r="CE23" s="19"/>
      <c r="CF23" s="20">
        <v>5</v>
      </c>
      <c r="CG23" s="21">
        <f t="shared" ref="CG23:CJ23" si="20">AVERAGE(BX23,BT23,BP23,BL23,BH23,BD23,AZ23,AV23,AR23,AN23,AJ23,AF23,AB23,X23,T23,P23,L23,H23,D23)</f>
        <v>5</v>
      </c>
      <c r="CH23" s="22">
        <f t="shared" si="20"/>
        <v>5</v>
      </c>
      <c r="CI23" s="22">
        <f t="shared" si="20"/>
        <v>5</v>
      </c>
      <c r="CJ23" s="22">
        <f t="shared" si="20"/>
        <v>5</v>
      </c>
      <c r="CK23" s="22">
        <f>(' Follow Up 1st'!$CB23+' Follow Up 1st'!$CC23)/2</f>
        <v>2.5</v>
      </c>
      <c r="CL23" s="23">
        <f>(' Follow Up 1st'!$CD23+' Follow Up 1st'!$CE23)/2</f>
        <v>22906.5</v>
      </c>
      <c r="CM23" s="24">
        <v>5</v>
      </c>
    </row>
    <row r="24" spans="1:91" ht="18.75" customHeight="1" x14ac:dyDescent="0.55000000000000004">
      <c r="A24" s="10">
        <v>22</v>
      </c>
      <c r="B24" s="25" t="s">
        <v>59</v>
      </c>
      <c r="C24" s="25" t="s">
        <v>38</v>
      </c>
      <c r="D24" s="12">
        <v>5</v>
      </c>
      <c r="E24" s="12">
        <v>5</v>
      </c>
      <c r="F24" s="12">
        <v>5</v>
      </c>
      <c r="G24" s="13">
        <v>5</v>
      </c>
      <c r="H24" s="13">
        <v>5</v>
      </c>
      <c r="I24" s="13">
        <v>5</v>
      </c>
      <c r="J24" s="13">
        <v>5</v>
      </c>
      <c r="K24" s="13">
        <v>5</v>
      </c>
      <c r="L24" s="13">
        <v>5</v>
      </c>
      <c r="M24" s="13">
        <v>5</v>
      </c>
      <c r="N24" s="13">
        <v>5</v>
      </c>
      <c r="O24" s="13">
        <v>5</v>
      </c>
      <c r="P24" s="12">
        <v>5</v>
      </c>
      <c r="Q24" s="12">
        <v>5</v>
      </c>
      <c r="R24" s="12">
        <v>5</v>
      </c>
      <c r="S24" s="13">
        <v>5</v>
      </c>
      <c r="T24" s="14">
        <v>5</v>
      </c>
      <c r="U24" s="14">
        <v>5</v>
      </c>
      <c r="V24" s="14">
        <v>5</v>
      </c>
      <c r="W24" s="14">
        <v>5</v>
      </c>
      <c r="X24" s="15">
        <v>5</v>
      </c>
      <c r="Y24" s="15">
        <v>5</v>
      </c>
      <c r="Z24" s="15">
        <v>5</v>
      </c>
      <c r="AA24" s="15">
        <v>5</v>
      </c>
      <c r="AB24" s="15">
        <v>5</v>
      </c>
      <c r="AC24" s="15">
        <v>5</v>
      </c>
      <c r="AD24" s="15">
        <v>5</v>
      </c>
      <c r="AE24" s="15">
        <v>5</v>
      </c>
      <c r="AF24" s="15">
        <v>5</v>
      </c>
      <c r="AG24" s="15">
        <v>5</v>
      </c>
      <c r="AH24" s="15">
        <v>5</v>
      </c>
      <c r="AI24" s="15">
        <v>5</v>
      </c>
      <c r="AJ24" s="15">
        <v>5</v>
      </c>
      <c r="AK24" s="15">
        <v>5</v>
      </c>
      <c r="AL24" s="15">
        <v>5</v>
      </c>
      <c r="AM24" s="15">
        <v>5</v>
      </c>
      <c r="AN24" s="15">
        <v>5</v>
      </c>
      <c r="AO24" s="15">
        <v>5</v>
      </c>
      <c r="AP24" s="15">
        <v>5</v>
      </c>
      <c r="AQ24" s="15">
        <v>5</v>
      </c>
      <c r="AR24" s="15">
        <v>5</v>
      </c>
      <c r="AS24" s="15">
        <v>5</v>
      </c>
      <c r="AT24" s="15">
        <v>5</v>
      </c>
      <c r="AU24" s="15">
        <v>5</v>
      </c>
      <c r="AV24" s="15"/>
      <c r="AW24" s="15"/>
      <c r="AX24" s="15"/>
      <c r="AY24" s="16"/>
      <c r="AZ24" s="15"/>
      <c r="BA24" s="15"/>
      <c r="BB24" s="15"/>
      <c r="BC24" s="16"/>
      <c r="BD24" s="15"/>
      <c r="BE24" s="15"/>
      <c r="BF24" s="15"/>
      <c r="BG24" s="16"/>
      <c r="BH24" s="15"/>
      <c r="BI24" s="15"/>
      <c r="BJ24" s="15"/>
      <c r="BK24" s="16"/>
      <c r="BL24" s="15"/>
      <c r="BM24" s="15"/>
      <c r="BN24" s="15"/>
      <c r="BO24" s="16"/>
      <c r="BP24" s="15"/>
      <c r="BQ24" s="15"/>
      <c r="BR24" s="15"/>
      <c r="BS24" s="16"/>
      <c r="BT24" s="15"/>
      <c r="BU24" s="15"/>
      <c r="BV24" s="15"/>
      <c r="BW24" s="16"/>
      <c r="BX24" s="15"/>
      <c r="BY24" s="15"/>
      <c r="BZ24" s="15"/>
      <c r="CA24" s="17"/>
      <c r="CB24" s="19">
        <v>5</v>
      </c>
      <c r="CC24" s="19"/>
      <c r="CD24" s="18">
        <v>45874</v>
      </c>
      <c r="CE24" s="19"/>
      <c r="CF24" s="20">
        <v>5</v>
      </c>
      <c r="CG24" s="21">
        <f t="shared" ref="CG24:CJ24" si="21">AVERAGE(BX24,BT24,BP24,BL24,BH24,BD24,AZ24,AV24,AR24,AN24,AJ24,AF24,AB24,X24,T24,P24,L24,H24,D24)</f>
        <v>5</v>
      </c>
      <c r="CH24" s="22">
        <f t="shared" si="21"/>
        <v>5</v>
      </c>
      <c r="CI24" s="22">
        <f t="shared" si="21"/>
        <v>5</v>
      </c>
      <c r="CJ24" s="22">
        <f t="shared" si="21"/>
        <v>5</v>
      </c>
      <c r="CK24" s="22">
        <f>(' Follow Up 1st'!$CB24+' Follow Up 1st'!$CC24)/2</f>
        <v>2.5</v>
      </c>
      <c r="CL24" s="23">
        <f>(' Follow Up 1st'!$CD24+' Follow Up 1st'!$CE24)/2</f>
        <v>22937</v>
      </c>
      <c r="CM24" s="24">
        <v>5</v>
      </c>
    </row>
    <row r="25" spans="1:91" ht="18.75" customHeight="1" x14ac:dyDescent="0.55000000000000004">
      <c r="A25" s="10">
        <v>23</v>
      </c>
      <c r="B25" s="25" t="s">
        <v>60</v>
      </c>
      <c r="C25" s="25" t="s">
        <v>61</v>
      </c>
      <c r="D25" s="12">
        <v>5</v>
      </c>
      <c r="E25" s="12">
        <v>5</v>
      </c>
      <c r="F25" s="12">
        <v>5</v>
      </c>
      <c r="G25" s="13">
        <v>5</v>
      </c>
      <c r="H25" s="13">
        <v>5</v>
      </c>
      <c r="I25" s="13">
        <v>5</v>
      </c>
      <c r="J25" s="13">
        <v>5</v>
      </c>
      <c r="K25" s="13">
        <v>5</v>
      </c>
      <c r="L25" s="13">
        <v>5</v>
      </c>
      <c r="M25" s="13">
        <v>5</v>
      </c>
      <c r="N25" s="13">
        <v>5</v>
      </c>
      <c r="O25" s="13">
        <v>5</v>
      </c>
      <c r="P25" s="12">
        <v>5</v>
      </c>
      <c r="Q25" s="12">
        <v>5</v>
      </c>
      <c r="R25" s="12">
        <v>5</v>
      </c>
      <c r="S25" s="13">
        <v>5</v>
      </c>
      <c r="T25" s="14">
        <v>5</v>
      </c>
      <c r="U25" s="14">
        <v>5</v>
      </c>
      <c r="V25" s="14">
        <v>5</v>
      </c>
      <c r="W25" s="14">
        <v>5</v>
      </c>
      <c r="X25" s="15">
        <v>5</v>
      </c>
      <c r="Y25" s="15">
        <v>5</v>
      </c>
      <c r="Z25" s="15">
        <v>5</v>
      </c>
      <c r="AA25" s="15">
        <v>5</v>
      </c>
      <c r="AB25" s="15">
        <v>5</v>
      </c>
      <c r="AC25" s="15">
        <v>5</v>
      </c>
      <c r="AD25" s="15">
        <v>5</v>
      </c>
      <c r="AE25" s="15">
        <v>5</v>
      </c>
      <c r="AF25" s="15">
        <v>5</v>
      </c>
      <c r="AG25" s="15">
        <v>5</v>
      </c>
      <c r="AH25" s="15">
        <v>5</v>
      </c>
      <c r="AI25" s="15">
        <v>5</v>
      </c>
      <c r="AJ25" s="15">
        <v>5</v>
      </c>
      <c r="AK25" s="15">
        <v>5</v>
      </c>
      <c r="AL25" s="15">
        <v>5</v>
      </c>
      <c r="AM25" s="15">
        <v>5</v>
      </c>
      <c r="AN25" s="15">
        <v>5</v>
      </c>
      <c r="AO25" s="15">
        <v>5</v>
      </c>
      <c r="AP25" s="15">
        <v>5</v>
      </c>
      <c r="AQ25" s="15">
        <v>5</v>
      </c>
      <c r="AR25" s="15">
        <v>5</v>
      </c>
      <c r="AS25" s="15">
        <v>5</v>
      </c>
      <c r="AT25" s="15">
        <v>5</v>
      </c>
      <c r="AU25" s="15">
        <v>5</v>
      </c>
      <c r="AV25" s="15"/>
      <c r="AW25" s="15"/>
      <c r="AX25" s="15"/>
      <c r="AY25" s="16"/>
      <c r="AZ25" s="15"/>
      <c r="BA25" s="15"/>
      <c r="BB25" s="15"/>
      <c r="BC25" s="16"/>
      <c r="BD25" s="15"/>
      <c r="BE25" s="15"/>
      <c r="BF25" s="15"/>
      <c r="BG25" s="16"/>
      <c r="BH25" s="15"/>
      <c r="BI25" s="15"/>
      <c r="BJ25" s="15"/>
      <c r="BK25" s="16"/>
      <c r="BL25" s="15"/>
      <c r="BM25" s="15"/>
      <c r="BN25" s="15"/>
      <c r="BO25" s="16"/>
      <c r="BP25" s="15"/>
      <c r="BQ25" s="15"/>
      <c r="BR25" s="15"/>
      <c r="BS25" s="16"/>
      <c r="BT25" s="15"/>
      <c r="BU25" s="15"/>
      <c r="BV25" s="15"/>
      <c r="BW25" s="16"/>
      <c r="BX25" s="15"/>
      <c r="BY25" s="15"/>
      <c r="BZ25" s="15"/>
      <c r="CA25" s="17"/>
      <c r="CB25" s="19">
        <v>5</v>
      </c>
      <c r="CC25" s="19"/>
      <c r="CD25" s="18">
        <v>45843</v>
      </c>
      <c r="CE25" s="19"/>
      <c r="CF25" s="20">
        <v>5</v>
      </c>
      <c r="CG25" s="21">
        <f t="shared" ref="CG25:CJ25" si="22">AVERAGE(BX25,BT25,BP25,BL25,BH25,BD25,AZ25,AV25,AR25,AN25,AJ25,AF25,AB25,X25,T25,P25,L25,H25,D25)</f>
        <v>5</v>
      </c>
      <c r="CH25" s="22">
        <f t="shared" si="22"/>
        <v>5</v>
      </c>
      <c r="CI25" s="22">
        <f t="shared" si="22"/>
        <v>5</v>
      </c>
      <c r="CJ25" s="22">
        <f t="shared" si="22"/>
        <v>5</v>
      </c>
      <c r="CK25" s="22">
        <f>(' Follow Up 1st'!$CB25+' Follow Up 1st'!$CC25)/2</f>
        <v>2.5</v>
      </c>
      <c r="CL25" s="23">
        <f>(' Follow Up 1st'!$CD25+' Follow Up 1st'!$CE25)/2</f>
        <v>22921.5</v>
      </c>
      <c r="CM25" s="24">
        <v>5</v>
      </c>
    </row>
    <row r="26" spans="1:91" ht="18.75" customHeight="1" x14ac:dyDescent="0.55000000000000004">
      <c r="A26" s="10">
        <v>24</v>
      </c>
      <c r="B26" s="25" t="s">
        <v>62</v>
      </c>
      <c r="C26" s="25" t="s">
        <v>61</v>
      </c>
      <c r="D26" s="12">
        <v>5</v>
      </c>
      <c r="E26" s="12">
        <v>5</v>
      </c>
      <c r="F26" s="12">
        <v>5</v>
      </c>
      <c r="G26" s="13">
        <v>5</v>
      </c>
      <c r="H26" s="13">
        <v>5</v>
      </c>
      <c r="I26" s="13">
        <v>5</v>
      </c>
      <c r="J26" s="13">
        <v>5</v>
      </c>
      <c r="K26" s="13">
        <v>5</v>
      </c>
      <c r="L26" s="13">
        <v>5</v>
      </c>
      <c r="M26" s="13">
        <v>5</v>
      </c>
      <c r="N26" s="13">
        <v>5</v>
      </c>
      <c r="O26" s="13">
        <v>5</v>
      </c>
      <c r="P26" s="12">
        <v>5</v>
      </c>
      <c r="Q26" s="12">
        <v>5</v>
      </c>
      <c r="R26" s="12">
        <v>5</v>
      </c>
      <c r="S26" s="13">
        <v>5</v>
      </c>
      <c r="T26" s="14">
        <v>5</v>
      </c>
      <c r="U26" s="14">
        <v>5</v>
      </c>
      <c r="V26" s="14">
        <v>5</v>
      </c>
      <c r="W26" s="14">
        <v>5</v>
      </c>
      <c r="X26" s="15">
        <v>5</v>
      </c>
      <c r="Y26" s="15">
        <v>5</v>
      </c>
      <c r="Z26" s="15">
        <v>5</v>
      </c>
      <c r="AA26" s="15">
        <v>5</v>
      </c>
      <c r="AB26" s="15">
        <v>5</v>
      </c>
      <c r="AC26" s="15">
        <v>5</v>
      </c>
      <c r="AD26" s="15">
        <v>5</v>
      </c>
      <c r="AE26" s="15">
        <v>5</v>
      </c>
      <c r="AF26" s="15">
        <v>5</v>
      </c>
      <c r="AG26" s="15">
        <v>5</v>
      </c>
      <c r="AH26" s="15">
        <v>5</v>
      </c>
      <c r="AI26" s="15">
        <v>5</v>
      </c>
      <c r="AJ26" s="15">
        <v>5</v>
      </c>
      <c r="AK26" s="15">
        <v>5</v>
      </c>
      <c r="AL26" s="15">
        <v>5</v>
      </c>
      <c r="AM26" s="15">
        <v>5</v>
      </c>
      <c r="AN26" s="15">
        <v>5</v>
      </c>
      <c r="AO26" s="15">
        <v>5</v>
      </c>
      <c r="AP26" s="15">
        <v>5</v>
      </c>
      <c r="AQ26" s="15">
        <v>5</v>
      </c>
      <c r="AR26" s="15">
        <v>5</v>
      </c>
      <c r="AS26" s="15">
        <v>5</v>
      </c>
      <c r="AT26" s="15">
        <v>5</v>
      </c>
      <c r="AU26" s="15">
        <v>5</v>
      </c>
      <c r="AV26" s="15"/>
      <c r="AW26" s="15"/>
      <c r="AX26" s="15"/>
      <c r="AY26" s="16"/>
      <c r="AZ26" s="15"/>
      <c r="BA26" s="15"/>
      <c r="BB26" s="15"/>
      <c r="BC26" s="16"/>
      <c r="BD26" s="15"/>
      <c r="BE26" s="15"/>
      <c r="BF26" s="15"/>
      <c r="BG26" s="16"/>
      <c r="BH26" s="15"/>
      <c r="BI26" s="15"/>
      <c r="BJ26" s="15"/>
      <c r="BK26" s="16"/>
      <c r="BL26" s="15"/>
      <c r="BM26" s="15"/>
      <c r="BN26" s="15"/>
      <c r="BO26" s="16"/>
      <c r="BP26" s="15"/>
      <c r="BQ26" s="15"/>
      <c r="BR26" s="15"/>
      <c r="BS26" s="16"/>
      <c r="BT26" s="15"/>
      <c r="BU26" s="15"/>
      <c r="BV26" s="15"/>
      <c r="BW26" s="16"/>
      <c r="BX26" s="15"/>
      <c r="BY26" s="15"/>
      <c r="BZ26" s="15"/>
      <c r="CA26" s="17"/>
      <c r="CB26" s="19">
        <v>5</v>
      </c>
      <c r="CC26" s="19"/>
      <c r="CD26" s="19">
        <v>10</v>
      </c>
      <c r="CE26" s="19"/>
      <c r="CF26" s="20">
        <v>5</v>
      </c>
      <c r="CG26" s="21">
        <f t="shared" ref="CG26:CJ26" si="23">AVERAGE(BX26,BT26,BP26,BL26,BH26,BD26,AZ26,AV26,AR26,AN26,AJ26,AF26,AB26,X26,T26,P26,L26,H26,D26)</f>
        <v>5</v>
      </c>
      <c r="CH26" s="22">
        <f t="shared" si="23"/>
        <v>5</v>
      </c>
      <c r="CI26" s="22">
        <f t="shared" si="23"/>
        <v>5</v>
      </c>
      <c r="CJ26" s="22">
        <f t="shared" si="23"/>
        <v>5</v>
      </c>
      <c r="CK26" s="22">
        <f>(' Follow Up 1st'!$CB26+' Follow Up 1st'!$CC26)/2</f>
        <v>2.5</v>
      </c>
      <c r="CL26" s="22">
        <f>(' Follow Up 1st'!$CD26+' Follow Up 1st'!$CE26)/2</f>
        <v>5</v>
      </c>
      <c r="CM26" s="24">
        <v>5</v>
      </c>
    </row>
    <row r="27" spans="1:91" ht="18.75" customHeight="1" x14ac:dyDescent="0.55000000000000004">
      <c r="A27" s="10">
        <v>25</v>
      </c>
      <c r="B27" s="25" t="s">
        <v>63</v>
      </c>
      <c r="C27" s="25" t="s">
        <v>61</v>
      </c>
      <c r="D27" s="12">
        <v>5</v>
      </c>
      <c r="E27" s="12">
        <v>5</v>
      </c>
      <c r="F27" s="12">
        <v>5</v>
      </c>
      <c r="G27" s="13">
        <v>5</v>
      </c>
      <c r="H27" s="13">
        <v>5</v>
      </c>
      <c r="I27" s="13">
        <v>5</v>
      </c>
      <c r="J27" s="13">
        <v>5</v>
      </c>
      <c r="K27" s="13">
        <v>5</v>
      </c>
      <c r="L27" s="13">
        <v>5</v>
      </c>
      <c r="M27" s="13">
        <v>5</v>
      </c>
      <c r="N27" s="13">
        <v>5</v>
      </c>
      <c r="O27" s="13">
        <v>5</v>
      </c>
      <c r="P27" s="12">
        <v>5</v>
      </c>
      <c r="Q27" s="12">
        <v>5</v>
      </c>
      <c r="R27" s="12">
        <v>5</v>
      </c>
      <c r="S27" s="13">
        <v>5</v>
      </c>
      <c r="T27" s="14">
        <v>5</v>
      </c>
      <c r="U27" s="14">
        <v>5</v>
      </c>
      <c r="V27" s="14">
        <v>5</v>
      </c>
      <c r="W27" s="14">
        <v>5</v>
      </c>
      <c r="X27" s="15">
        <v>5</v>
      </c>
      <c r="Y27" s="15">
        <v>5</v>
      </c>
      <c r="Z27" s="15">
        <v>5</v>
      </c>
      <c r="AA27" s="15">
        <v>5</v>
      </c>
      <c r="AB27" s="15">
        <v>5</v>
      </c>
      <c r="AC27" s="15">
        <v>5</v>
      </c>
      <c r="AD27" s="15">
        <v>5</v>
      </c>
      <c r="AE27" s="15">
        <v>5</v>
      </c>
      <c r="AF27" s="15">
        <v>5</v>
      </c>
      <c r="AG27" s="15">
        <v>5</v>
      </c>
      <c r="AH27" s="15">
        <v>5</v>
      </c>
      <c r="AI27" s="15">
        <v>5</v>
      </c>
      <c r="AJ27" s="15">
        <v>5</v>
      </c>
      <c r="AK27" s="15">
        <v>5</v>
      </c>
      <c r="AL27" s="15">
        <v>5</v>
      </c>
      <c r="AM27" s="15">
        <v>5</v>
      </c>
      <c r="AN27" s="15">
        <v>5</v>
      </c>
      <c r="AO27" s="15">
        <v>5</v>
      </c>
      <c r="AP27" s="15">
        <v>5</v>
      </c>
      <c r="AQ27" s="15">
        <v>5</v>
      </c>
      <c r="AR27" s="15">
        <v>5</v>
      </c>
      <c r="AS27" s="15">
        <v>5</v>
      </c>
      <c r="AT27" s="15">
        <v>5</v>
      </c>
      <c r="AU27" s="15">
        <v>5</v>
      </c>
      <c r="AV27" s="15"/>
      <c r="AW27" s="15"/>
      <c r="AX27" s="15"/>
      <c r="AY27" s="16"/>
      <c r="AZ27" s="15"/>
      <c r="BA27" s="15"/>
      <c r="BB27" s="15"/>
      <c r="BC27" s="16"/>
      <c r="BD27" s="15"/>
      <c r="BE27" s="15"/>
      <c r="BF27" s="15"/>
      <c r="BG27" s="16"/>
      <c r="BH27" s="15"/>
      <c r="BI27" s="15"/>
      <c r="BJ27" s="15"/>
      <c r="BK27" s="16"/>
      <c r="BL27" s="15"/>
      <c r="BM27" s="15"/>
      <c r="BN27" s="15"/>
      <c r="BO27" s="16"/>
      <c r="BP27" s="15"/>
      <c r="BQ27" s="15"/>
      <c r="BR27" s="15"/>
      <c r="BS27" s="16"/>
      <c r="BT27" s="15"/>
      <c r="BU27" s="15"/>
      <c r="BV27" s="15"/>
      <c r="BW27" s="16"/>
      <c r="BX27" s="15"/>
      <c r="BY27" s="15"/>
      <c r="BZ27" s="15"/>
      <c r="CA27" s="17"/>
      <c r="CB27" s="19">
        <v>5</v>
      </c>
      <c r="CC27" s="19"/>
      <c r="CD27" s="19">
        <v>9</v>
      </c>
      <c r="CE27" s="19"/>
      <c r="CF27" s="20">
        <v>5</v>
      </c>
      <c r="CG27" s="21">
        <f t="shared" ref="CG27:CJ27" si="24">AVERAGE(BX27,BT27,BP27,BL27,BH27,BD27,AZ27,AV27,AR27,AN27,AJ27,AF27,AB27,X27,T27,P27,L27,H27,D27)</f>
        <v>5</v>
      </c>
      <c r="CH27" s="22">
        <f t="shared" si="24"/>
        <v>5</v>
      </c>
      <c r="CI27" s="22">
        <f t="shared" si="24"/>
        <v>5</v>
      </c>
      <c r="CJ27" s="22">
        <f t="shared" si="24"/>
        <v>5</v>
      </c>
      <c r="CK27" s="22">
        <f>(' Follow Up 1st'!$CB27+' Follow Up 1st'!$CC27)/2</f>
        <v>2.5</v>
      </c>
      <c r="CL27" s="22">
        <f>(' Follow Up 1st'!$CD27+' Follow Up 1st'!$CE27)/2</f>
        <v>4.5</v>
      </c>
      <c r="CM27" s="24">
        <v>5</v>
      </c>
    </row>
    <row r="28" spans="1:91" ht="18.75" customHeight="1" x14ac:dyDescent="0.55000000000000004">
      <c r="A28" s="10">
        <v>26</v>
      </c>
      <c r="B28" s="25" t="s">
        <v>64</v>
      </c>
      <c r="C28" s="25" t="s">
        <v>61</v>
      </c>
      <c r="D28" s="12">
        <v>5</v>
      </c>
      <c r="E28" s="12">
        <v>5</v>
      </c>
      <c r="F28" s="12">
        <v>5</v>
      </c>
      <c r="G28" s="13">
        <v>5</v>
      </c>
      <c r="H28" s="13">
        <v>5</v>
      </c>
      <c r="I28" s="13">
        <v>5</v>
      </c>
      <c r="J28" s="13">
        <v>5</v>
      </c>
      <c r="K28" s="13">
        <v>5</v>
      </c>
      <c r="L28" s="13">
        <v>5</v>
      </c>
      <c r="M28" s="13">
        <v>5</v>
      </c>
      <c r="N28" s="13">
        <v>5</v>
      </c>
      <c r="O28" s="13">
        <v>5</v>
      </c>
      <c r="P28" s="12">
        <v>5</v>
      </c>
      <c r="Q28" s="12">
        <v>5</v>
      </c>
      <c r="R28" s="12">
        <v>5</v>
      </c>
      <c r="S28" s="13">
        <v>5</v>
      </c>
      <c r="T28" s="14">
        <v>5</v>
      </c>
      <c r="U28" s="14">
        <v>5</v>
      </c>
      <c r="V28" s="14">
        <v>5</v>
      </c>
      <c r="W28" s="14">
        <v>5</v>
      </c>
      <c r="X28" s="15">
        <v>5</v>
      </c>
      <c r="Y28" s="15">
        <v>5</v>
      </c>
      <c r="Z28" s="15">
        <v>5</v>
      </c>
      <c r="AA28" s="15">
        <v>5</v>
      </c>
      <c r="AB28" s="15">
        <v>5</v>
      </c>
      <c r="AC28" s="15">
        <v>5</v>
      </c>
      <c r="AD28" s="15">
        <v>5</v>
      </c>
      <c r="AE28" s="15">
        <v>5</v>
      </c>
      <c r="AF28" s="15">
        <v>5</v>
      </c>
      <c r="AG28" s="15">
        <v>5</v>
      </c>
      <c r="AH28" s="15">
        <v>5</v>
      </c>
      <c r="AI28" s="15">
        <v>5</v>
      </c>
      <c r="AJ28" s="15">
        <v>5</v>
      </c>
      <c r="AK28" s="15">
        <v>5</v>
      </c>
      <c r="AL28" s="15">
        <v>5</v>
      </c>
      <c r="AM28" s="15">
        <v>5</v>
      </c>
      <c r="AN28" s="15">
        <v>5</v>
      </c>
      <c r="AO28" s="15">
        <v>5</v>
      </c>
      <c r="AP28" s="15">
        <v>5</v>
      </c>
      <c r="AQ28" s="15">
        <v>5</v>
      </c>
      <c r="AR28" s="15">
        <v>5</v>
      </c>
      <c r="AS28" s="15">
        <v>5</v>
      </c>
      <c r="AT28" s="15">
        <v>5</v>
      </c>
      <c r="AU28" s="15">
        <v>5</v>
      </c>
      <c r="AV28" s="15"/>
      <c r="AW28" s="15"/>
      <c r="AX28" s="15"/>
      <c r="AY28" s="16"/>
      <c r="AZ28" s="15"/>
      <c r="BA28" s="15"/>
      <c r="BB28" s="15"/>
      <c r="BC28" s="16"/>
      <c r="BD28" s="15"/>
      <c r="BE28" s="15"/>
      <c r="BF28" s="15"/>
      <c r="BG28" s="16"/>
      <c r="BH28" s="15"/>
      <c r="BI28" s="15"/>
      <c r="BJ28" s="15"/>
      <c r="BK28" s="16"/>
      <c r="BL28" s="15"/>
      <c r="BM28" s="15"/>
      <c r="BN28" s="15"/>
      <c r="BO28" s="16"/>
      <c r="BP28" s="15"/>
      <c r="BQ28" s="15"/>
      <c r="BR28" s="15"/>
      <c r="BS28" s="16"/>
      <c r="BT28" s="15"/>
      <c r="BU28" s="15"/>
      <c r="BV28" s="15"/>
      <c r="BW28" s="16"/>
      <c r="BX28" s="15"/>
      <c r="BY28" s="15"/>
      <c r="BZ28" s="15"/>
      <c r="CA28" s="17"/>
      <c r="CB28" s="19">
        <v>5</v>
      </c>
      <c r="CC28" s="19"/>
      <c r="CD28" s="19">
        <v>10</v>
      </c>
      <c r="CE28" s="19"/>
      <c r="CF28" s="20">
        <v>5</v>
      </c>
      <c r="CG28" s="21">
        <f t="shared" ref="CG28:CJ28" si="25">AVERAGE(BX28,BT28,BP28,BL28,BH28,BD28,AZ28,AV28,AR28,AN28,AJ28,AF28,AB28,X28,T28,P28,L28,H28,D28)</f>
        <v>5</v>
      </c>
      <c r="CH28" s="22">
        <f t="shared" si="25"/>
        <v>5</v>
      </c>
      <c r="CI28" s="22">
        <f t="shared" si="25"/>
        <v>5</v>
      </c>
      <c r="CJ28" s="22">
        <f t="shared" si="25"/>
        <v>5</v>
      </c>
      <c r="CK28" s="22">
        <f>(' Follow Up 1st'!$CB28+' Follow Up 1st'!$CC28)/2</f>
        <v>2.5</v>
      </c>
      <c r="CL28" s="22">
        <f>(' Follow Up 1st'!$CD28+' Follow Up 1st'!$CE28)/2</f>
        <v>5</v>
      </c>
      <c r="CM28" s="24">
        <v>5</v>
      </c>
    </row>
    <row r="29" spans="1:91" ht="18.75" customHeight="1" x14ac:dyDescent="0.55000000000000004">
      <c r="A29" s="10">
        <v>27</v>
      </c>
      <c r="B29" s="25" t="s">
        <v>65</v>
      </c>
      <c r="C29" s="25" t="s">
        <v>61</v>
      </c>
      <c r="D29" s="12">
        <v>5</v>
      </c>
      <c r="E29" s="12">
        <v>5</v>
      </c>
      <c r="F29" s="12">
        <v>5</v>
      </c>
      <c r="G29" s="13">
        <v>5</v>
      </c>
      <c r="H29" s="13">
        <v>5</v>
      </c>
      <c r="I29" s="13">
        <v>5</v>
      </c>
      <c r="J29" s="13">
        <v>5</v>
      </c>
      <c r="K29" s="13">
        <v>5</v>
      </c>
      <c r="L29" s="13">
        <v>5</v>
      </c>
      <c r="M29" s="13">
        <v>5</v>
      </c>
      <c r="N29" s="13">
        <v>5</v>
      </c>
      <c r="O29" s="13">
        <v>5</v>
      </c>
      <c r="P29" s="12">
        <v>5</v>
      </c>
      <c r="Q29" s="12">
        <v>5</v>
      </c>
      <c r="R29" s="12">
        <v>5</v>
      </c>
      <c r="S29" s="13">
        <v>5</v>
      </c>
      <c r="T29" s="14">
        <v>5</v>
      </c>
      <c r="U29" s="14">
        <v>5</v>
      </c>
      <c r="V29" s="14">
        <v>5</v>
      </c>
      <c r="W29" s="14">
        <v>5</v>
      </c>
      <c r="X29" s="15">
        <v>5</v>
      </c>
      <c r="Y29" s="15">
        <v>5</v>
      </c>
      <c r="Z29" s="15">
        <v>5</v>
      </c>
      <c r="AA29" s="15">
        <v>5</v>
      </c>
      <c r="AB29" s="15">
        <v>5</v>
      </c>
      <c r="AC29" s="15">
        <v>5</v>
      </c>
      <c r="AD29" s="15">
        <v>5</v>
      </c>
      <c r="AE29" s="15">
        <v>5</v>
      </c>
      <c r="AF29" s="15">
        <v>5</v>
      </c>
      <c r="AG29" s="15">
        <v>5</v>
      </c>
      <c r="AH29" s="15">
        <v>5</v>
      </c>
      <c r="AI29" s="15">
        <v>5</v>
      </c>
      <c r="AJ29" s="15">
        <v>5</v>
      </c>
      <c r="AK29" s="15">
        <v>5</v>
      </c>
      <c r="AL29" s="15">
        <v>5</v>
      </c>
      <c r="AM29" s="15">
        <v>5</v>
      </c>
      <c r="AN29" s="15">
        <v>5</v>
      </c>
      <c r="AO29" s="15">
        <v>5</v>
      </c>
      <c r="AP29" s="15">
        <v>5</v>
      </c>
      <c r="AQ29" s="15">
        <v>5</v>
      </c>
      <c r="AR29" s="15">
        <v>5</v>
      </c>
      <c r="AS29" s="15">
        <v>5</v>
      </c>
      <c r="AT29" s="15">
        <v>5</v>
      </c>
      <c r="AU29" s="15">
        <v>5</v>
      </c>
      <c r="AV29" s="15"/>
      <c r="AW29" s="15"/>
      <c r="AX29" s="15"/>
      <c r="AY29" s="16"/>
      <c r="AZ29" s="15"/>
      <c r="BA29" s="15"/>
      <c r="BB29" s="15"/>
      <c r="BC29" s="16"/>
      <c r="BD29" s="15"/>
      <c r="BE29" s="15"/>
      <c r="BF29" s="15"/>
      <c r="BG29" s="16"/>
      <c r="BH29" s="15"/>
      <c r="BI29" s="15"/>
      <c r="BJ29" s="15"/>
      <c r="BK29" s="16"/>
      <c r="BL29" s="15"/>
      <c r="BM29" s="15"/>
      <c r="BN29" s="15"/>
      <c r="BO29" s="16"/>
      <c r="BP29" s="15"/>
      <c r="BQ29" s="15"/>
      <c r="BR29" s="15"/>
      <c r="BS29" s="16"/>
      <c r="BT29" s="15"/>
      <c r="BU29" s="15"/>
      <c r="BV29" s="15"/>
      <c r="BW29" s="16"/>
      <c r="BX29" s="15"/>
      <c r="BY29" s="15"/>
      <c r="BZ29" s="15"/>
      <c r="CA29" s="17"/>
      <c r="CB29" s="19">
        <v>5</v>
      </c>
      <c r="CC29" s="19"/>
      <c r="CD29" s="19">
        <v>8</v>
      </c>
      <c r="CE29" s="19"/>
      <c r="CF29" s="20">
        <v>5</v>
      </c>
      <c r="CG29" s="21">
        <f t="shared" ref="CG29:CJ29" si="26">AVERAGE(BX29,BT29,BP29,BL29,BH29,BD29,AZ29,AV29,AR29,AN29,AJ29,AF29,AB29,X29,T29,P29,L29,H29,D29)</f>
        <v>5</v>
      </c>
      <c r="CH29" s="22">
        <f t="shared" si="26"/>
        <v>5</v>
      </c>
      <c r="CI29" s="22">
        <f t="shared" si="26"/>
        <v>5</v>
      </c>
      <c r="CJ29" s="22">
        <f t="shared" si="26"/>
        <v>5</v>
      </c>
      <c r="CK29" s="22">
        <f>(' Follow Up 1st'!$CB29+' Follow Up 1st'!$CC29)/2</f>
        <v>2.5</v>
      </c>
      <c r="CL29" s="22">
        <f>(' Follow Up 1st'!$CD29+' Follow Up 1st'!$CE29)/2</f>
        <v>4</v>
      </c>
      <c r="CM29" s="24">
        <v>5</v>
      </c>
    </row>
    <row r="30" spans="1:91" ht="18.75" customHeight="1" x14ac:dyDescent="0.55000000000000004">
      <c r="A30" s="10">
        <v>28</v>
      </c>
      <c r="B30" s="25" t="s">
        <v>66</v>
      </c>
      <c r="C30" s="25" t="s">
        <v>61</v>
      </c>
      <c r="D30" s="12">
        <v>5</v>
      </c>
      <c r="E30" s="12">
        <v>5</v>
      </c>
      <c r="F30" s="12">
        <v>5</v>
      </c>
      <c r="G30" s="13">
        <v>5</v>
      </c>
      <c r="H30" s="13">
        <v>5</v>
      </c>
      <c r="I30" s="13">
        <v>5</v>
      </c>
      <c r="J30" s="13">
        <v>5</v>
      </c>
      <c r="K30" s="13">
        <v>5</v>
      </c>
      <c r="L30" s="13">
        <v>5</v>
      </c>
      <c r="M30" s="13">
        <v>5</v>
      </c>
      <c r="N30" s="13">
        <v>5</v>
      </c>
      <c r="O30" s="13">
        <v>5</v>
      </c>
      <c r="P30" s="12">
        <v>5</v>
      </c>
      <c r="Q30" s="12">
        <v>5</v>
      </c>
      <c r="R30" s="12">
        <v>5</v>
      </c>
      <c r="S30" s="13">
        <v>5</v>
      </c>
      <c r="T30" s="14">
        <v>5</v>
      </c>
      <c r="U30" s="14">
        <v>5</v>
      </c>
      <c r="V30" s="14">
        <v>5</v>
      </c>
      <c r="W30" s="14">
        <v>5</v>
      </c>
      <c r="X30" s="15">
        <v>5</v>
      </c>
      <c r="Y30" s="15">
        <v>5</v>
      </c>
      <c r="Z30" s="15">
        <v>5</v>
      </c>
      <c r="AA30" s="15">
        <v>5</v>
      </c>
      <c r="AB30" s="15">
        <v>5</v>
      </c>
      <c r="AC30" s="15">
        <v>5</v>
      </c>
      <c r="AD30" s="15">
        <v>5</v>
      </c>
      <c r="AE30" s="15">
        <v>5</v>
      </c>
      <c r="AF30" s="15">
        <v>5</v>
      </c>
      <c r="AG30" s="15">
        <v>5</v>
      </c>
      <c r="AH30" s="15">
        <v>5</v>
      </c>
      <c r="AI30" s="15">
        <v>5</v>
      </c>
      <c r="AJ30" s="15">
        <v>5</v>
      </c>
      <c r="AK30" s="15">
        <v>5</v>
      </c>
      <c r="AL30" s="15">
        <v>5</v>
      </c>
      <c r="AM30" s="15">
        <v>5</v>
      </c>
      <c r="AN30" s="15">
        <v>5</v>
      </c>
      <c r="AO30" s="15">
        <v>5</v>
      </c>
      <c r="AP30" s="15">
        <v>5</v>
      </c>
      <c r="AQ30" s="15">
        <v>5</v>
      </c>
      <c r="AR30" s="15">
        <v>5</v>
      </c>
      <c r="AS30" s="15">
        <v>5</v>
      </c>
      <c r="AT30" s="15">
        <v>5</v>
      </c>
      <c r="AU30" s="15">
        <v>5</v>
      </c>
      <c r="AV30" s="15"/>
      <c r="AW30" s="15"/>
      <c r="AX30" s="15"/>
      <c r="AY30" s="16"/>
      <c r="AZ30" s="15"/>
      <c r="BA30" s="15"/>
      <c r="BB30" s="15"/>
      <c r="BC30" s="16"/>
      <c r="BD30" s="15"/>
      <c r="BE30" s="15"/>
      <c r="BF30" s="15"/>
      <c r="BG30" s="16"/>
      <c r="BH30" s="15"/>
      <c r="BI30" s="15"/>
      <c r="BJ30" s="15"/>
      <c r="BK30" s="16"/>
      <c r="BL30" s="15"/>
      <c r="BM30" s="15"/>
      <c r="BN30" s="15"/>
      <c r="BO30" s="16"/>
      <c r="BP30" s="15"/>
      <c r="BQ30" s="15"/>
      <c r="BR30" s="15"/>
      <c r="BS30" s="16"/>
      <c r="BT30" s="15"/>
      <c r="BU30" s="15"/>
      <c r="BV30" s="15"/>
      <c r="BW30" s="16"/>
      <c r="BX30" s="15"/>
      <c r="BY30" s="15"/>
      <c r="BZ30" s="15"/>
      <c r="CA30" s="17"/>
      <c r="CB30" s="19">
        <v>5</v>
      </c>
      <c r="CC30" s="19"/>
      <c r="CD30" s="18">
        <v>45874</v>
      </c>
      <c r="CE30" s="19"/>
      <c r="CF30" s="20">
        <v>5</v>
      </c>
      <c r="CG30" s="21">
        <f t="shared" ref="CG30:CJ30" si="27">AVERAGE(BX30,BT30,BP30,BL30,BH30,BD30,AZ30,AV30,AR30,AN30,AJ30,AF30,AB30,X30,T30,P30,L30,H30,D30)</f>
        <v>5</v>
      </c>
      <c r="CH30" s="22">
        <f t="shared" si="27"/>
        <v>5</v>
      </c>
      <c r="CI30" s="22">
        <f t="shared" si="27"/>
        <v>5</v>
      </c>
      <c r="CJ30" s="22">
        <f t="shared" si="27"/>
        <v>5</v>
      </c>
      <c r="CK30" s="22">
        <f>(' Follow Up 1st'!$CB30+' Follow Up 1st'!$CC30)/2</f>
        <v>2.5</v>
      </c>
      <c r="CL30" s="23">
        <f>(' Follow Up 1st'!$CD30+' Follow Up 1st'!$CE30)/2</f>
        <v>22937</v>
      </c>
      <c r="CM30" s="24">
        <v>5</v>
      </c>
    </row>
    <row r="31" spans="1:91" ht="18.75" customHeight="1" x14ac:dyDescent="0.55000000000000004">
      <c r="A31" s="10">
        <v>29</v>
      </c>
      <c r="B31" s="25" t="s">
        <v>67</v>
      </c>
      <c r="C31" s="25" t="s">
        <v>61</v>
      </c>
      <c r="D31" s="12">
        <v>5</v>
      </c>
      <c r="E31" s="12">
        <v>5</v>
      </c>
      <c r="F31" s="12">
        <v>5</v>
      </c>
      <c r="G31" s="13">
        <v>5</v>
      </c>
      <c r="H31" s="13">
        <v>5</v>
      </c>
      <c r="I31" s="13">
        <v>5</v>
      </c>
      <c r="J31" s="13">
        <v>5</v>
      </c>
      <c r="K31" s="13">
        <v>5</v>
      </c>
      <c r="L31" s="13">
        <v>5</v>
      </c>
      <c r="M31" s="13">
        <v>5</v>
      </c>
      <c r="N31" s="13">
        <v>5</v>
      </c>
      <c r="O31" s="13">
        <v>5</v>
      </c>
      <c r="P31" s="12">
        <v>5</v>
      </c>
      <c r="Q31" s="12">
        <v>5</v>
      </c>
      <c r="R31" s="12">
        <v>5</v>
      </c>
      <c r="S31" s="13">
        <v>5</v>
      </c>
      <c r="T31" s="14">
        <v>5</v>
      </c>
      <c r="U31" s="14">
        <v>5</v>
      </c>
      <c r="V31" s="14">
        <v>5</v>
      </c>
      <c r="W31" s="14">
        <v>5</v>
      </c>
      <c r="X31" s="15">
        <v>5</v>
      </c>
      <c r="Y31" s="15">
        <v>5</v>
      </c>
      <c r="Z31" s="15">
        <v>5</v>
      </c>
      <c r="AA31" s="15">
        <v>5</v>
      </c>
      <c r="AB31" s="15">
        <v>5</v>
      </c>
      <c r="AC31" s="15">
        <v>5</v>
      </c>
      <c r="AD31" s="15">
        <v>5</v>
      </c>
      <c r="AE31" s="15">
        <v>5</v>
      </c>
      <c r="AF31" s="15">
        <v>5</v>
      </c>
      <c r="AG31" s="15">
        <v>5</v>
      </c>
      <c r="AH31" s="15">
        <v>5</v>
      </c>
      <c r="AI31" s="15">
        <v>5</v>
      </c>
      <c r="AJ31" s="15">
        <v>5</v>
      </c>
      <c r="AK31" s="15">
        <v>5</v>
      </c>
      <c r="AL31" s="15">
        <v>5</v>
      </c>
      <c r="AM31" s="15">
        <v>5</v>
      </c>
      <c r="AN31" s="15">
        <v>5</v>
      </c>
      <c r="AO31" s="15">
        <v>5</v>
      </c>
      <c r="AP31" s="15">
        <v>5</v>
      </c>
      <c r="AQ31" s="15">
        <v>5</v>
      </c>
      <c r="AR31" s="15">
        <v>5</v>
      </c>
      <c r="AS31" s="15">
        <v>5</v>
      </c>
      <c r="AT31" s="15">
        <v>5</v>
      </c>
      <c r="AU31" s="15">
        <v>5</v>
      </c>
      <c r="AV31" s="15"/>
      <c r="AW31" s="15"/>
      <c r="AX31" s="15"/>
      <c r="AY31" s="16"/>
      <c r="AZ31" s="15"/>
      <c r="BA31" s="15"/>
      <c r="BB31" s="15"/>
      <c r="BC31" s="16"/>
      <c r="BD31" s="15"/>
      <c r="BE31" s="15"/>
      <c r="BF31" s="15"/>
      <c r="BG31" s="16"/>
      <c r="BH31" s="15"/>
      <c r="BI31" s="15"/>
      <c r="BJ31" s="15"/>
      <c r="BK31" s="16"/>
      <c r="BL31" s="15"/>
      <c r="BM31" s="15"/>
      <c r="BN31" s="15"/>
      <c r="BO31" s="16"/>
      <c r="BP31" s="15"/>
      <c r="BQ31" s="15"/>
      <c r="BR31" s="15"/>
      <c r="BS31" s="16"/>
      <c r="BT31" s="15"/>
      <c r="BU31" s="15"/>
      <c r="BV31" s="15"/>
      <c r="BW31" s="16"/>
      <c r="BX31" s="15"/>
      <c r="BY31" s="15"/>
      <c r="BZ31" s="15"/>
      <c r="CA31" s="17"/>
      <c r="CB31" s="19">
        <v>5</v>
      </c>
      <c r="CC31" s="19"/>
      <c r="CD31" s="19">
        <v>7</v>
      </c>
      <c r="CE31" s="19"/>
      <c r="CF31" s="20">
        <v>5</v>
      </c>
      <c r="CG31" s="21">
        <f t="shared" ref="CG31:CJ31" si="28">AVERAGE(BX31,BT31,BP31,BL31,BH31,BD31,AZ31,AV31,AR31,AN31,AJ31,AF31,AB31,X31,T31,P31,L31,H31,D31)</f>
        <v>5</v>
      </c>
      <c r="CH31" s="22">
        <f t="shared" si="28"/>
        <v>5</v>
      </c>
      <c r="CI31" s="22">
        <f t="shared" si="28"/>
        <v>5</v>
      </c>
      <c r="CJ31" s="22">
        <f t="shared" si="28"/>
        <v>5</v>
      </c>
      <c r="CK31" s="22">
        <f>(' Follow Up 1st'!$CB31+' Follow Up 1st'!$CC31)/2</f>
        <v>2.5</v>
      </c>
      <c r="CL31" s="22">
        <f>(' Follow Up 1st'!$CD31+' Follow Up 1st'!$CE31)/2</f>
        <v>3.5</v>
      </c>
      <c r="CM31" s="24">
        <v>5</v>
      </c>
    </row>
    <row r="32" spans="1:91" ht="18.75" customHeight="1" x14ac:dyDescent="0.55000000000000004">
      <c r="A32" s="10">
        <v>30</v>
      </c>
      <c r="B32" s="25" t="s">
        <v>68</v>
      </c>
      <c r="C32" s="25" t="s">
        <v>61</v>
      </c>
      <c r="D32" s="12">
        <v>5</v>
      </c>
      <c r="E32" s="12">
        <v>5</v>
      </c>
      <c r="F32" s="12">
        <v>5</v>
      </c>
      <c r="G32" s="13">
        <v>5</v>
      </c>
      <c r="H32" s="13">
        <v>5</v>
      </c>
      <c r="I32" s="13">
        <v>5</v>
      </c>
      <c r="J32" s="13">
        <v>5</v>
      </c>
      <c r="K32" s="13">
        <v>5</v>
      </c>
      <c r="L32" s="13">
        <v>5</v>
      </c>
      <c r="M32" s="13">
        <v>5</v>
      </c>
      <c r="N32" s="13">
        <v>5</v>
      </c>
      <c r="O32" s="13">
        <v>5</v>
      </c>
      <c r="P32" s="12">
        <v>5</v>
      </c>
      <c r="Q32" s="12">
        <v>5</v>
      </c>
      <c r="R32" s="12">
        <v>5</v>
      </c>
      <c r="S32" s="13">
        <v>5</v>
      </c>
      <c r="T32" s="14">
        <v>5</v>
      </c>
      <c r="U32" s="14">
        <v>5</v>
      </c>
      <c r="V32" s="14">
        <v>5</v>
      </c>
      <c r="W32" s="14">
        <v>5</v>
      </c>
      <c r="X32" s="15">
        <v>5</v>
      </c>
      <c r="Y32" s="15">
        <v>5</v>
      </c>
      <c r="Z32" s="15">
        <v>5</v>
      </c>
      <c r="AA32" s="15">
        <v>5</v>
      </c>
      <c r="AB32" s="15">
        <v>5</v>
      </c>
      <c r="AC32" s="15">
        <v>5</v>
      </c>
      <c r="AD32" s="15">
        <v>5</v>
      </c>
      <c r="AE32" s="15">
        <v>5</v>
      </c>
      <c r="AF32" s="15">
        <v>5</v>
      </c>
      <c r="AG32" s="15">
        <v>5</v>
      </c>
      <c r="AH32" s="15">
        <v>5</v>
      </c>
      <c r="AI32" s="15">
        <v>5</v>
      </c>
      <c r="AJ32" s="15">
        <v>5</v>
      </c>
      <c r="AK32" s="15">
        <v>5</v>
      </c>
      <c r="AL32" s="15">
        <v>5</v>
      </c>
      <c r="AM32" s="15">
        <v>5</v>
      </c>
      <c r="AN32" s="15">
        <v>5</v>
      </c>
      <c r="AO32" s="15">
        <v>5</v>
      </c>
      <c r="AP32" s="15">
        <v>5</v>
      </c>
      <c r="AQ32" s="15">
        <v>5</v>
      </c>
      <c r="AR32" s="15">
        <v>5</v>
      </c>
      <c r="AS32" s="15">
        <v>5</v>
      </c>
      <c r="AT32" s="15">
        <v>5</v>
      </c>
      <c r="AU32" s="15">
        <v>5</v>
      </c>
      <c r="AV32" s="15"/>
      <c r="AW32" s="15"/>
      <c r="AX32" s="15"/>
      <c r="AY32" s="16"/>
      <c r="AZ32" s="15"/>
      <c r="BA32" s="15"/>
      <c r="BB32" s="15"/>
      <c r="BC32" s="16"/>
      <c r="BD32" s="15"/>
      <c r="BE32" s="15"/>
      <c r="BF32" s="15"/>
      <c r="BG32" s="16"/>
      <c r="BH32" s="15"/>
      <c r="BI32" s="15"/>
      <c r="BJ32" s="15"/>
      <c r="BK32" s="16"/>
      <c r="BL32" s="15"/>
      <c r="BM32" s="15"/>
      <c r="BN32" s="15"/>
      <c r="BO32" s="16"/>
      <c r="BP32" s="15"/>
      <c r="BQ32" s="15"/>
      <c r="BR32" s="15"/>
      <c r="BS32" s="16"/>
      <c r="BT32" s="15"/>
      <c r="BU32" s="15"/>
      <c r="BV32" s="15"/>
      <c r="BW32" s="16"/>
      <c r="BX32" s="15"/>
      <c r="BY32" s="15"/>
      <c r="BZ32" s="15"/>
      <c r="CA32" s="17"/>
      <c r="CB32" s="19">
        <v>5</v>
      </c>
      <c r="CC32" s="19"/>
      <c r="CD32" s="19">
        <v>10</v>
      </c>
      <c r="CE32" s="19"/>
      <c r="CF32" s="20">
        <v>5</v>
      </c>
      <c r="CG32" s="21">
        <f t="shared" ref="CG32:CJ32" si="29">AVERAGE(BX32,BT32,BP32,BL32,BH32,BD32,AZ32,AV32,AR32,AN32,AJ32,AF32,AB32,X32,T32,P32,L32,H32,D32)</f>
        <v>5</v>
      </c>
      <c r="CH32" s="22">
        <f t="shared" si="29"/>
        <v>5</v>
      </c>
      <c r="CI32" s="22">
        <f t="shared" si="29"/>
        <v>5</v>
      </c>
      <c r="CJ32" s="22">
        <f t="shared" si="29"/>
        <v>5</v>
      </c>
      <c r="CK32" s="22">
        <f>(' Follow Up 1st'!$CB32+' Follow Up 1st'!$CC32)/2</f>
        <v>2.5</v>
      </c>
      <c r="CL32" s="22">
        <f>(' Follow Up 1st'!$CD32+' Follow Up 1st'!$CE32)/2</f>
        <v>5</v>
      </c>
      <c r="CM32" s="24">
        <v>5</v>
      </c>
    </row>
    <row r="33" spans="1:91" ht="18.75" customHeight="1" x14ac:dyDescent="0.55000000000000004">
      <c r="A33" s="10">
        <v>31</v>
      </c>
      <c r="B33" s="25" t="s">
        <v>69</v>
      </c>
      <c r="C33" s="25" t="s">
        <v>61</v>
      </c>
      <c r="D33" s="12">
        <v>5</v>
      </c>
      <c r="E33" s="12">
        <v>5</v>
      </c>
      <c r="F33" s="12">
        <v>5</v>
      </c>
      <c r="G33" s="13">
        <v>5</v>
      </c>
      <c r="H33" s="13">
        <v>5</v>
      </c>
      <c r="I33" s="13">
        <v>5</v>
      </c>
      <c r="J33" s="13">
        <v>5</v>
      </c>
      <c r="K33" s="13">
        <v>5</v>
      </c>
      <c r="L33" s="13">
        <v>5</v>
      </c>
      <c r="M33" s="13">
        <v>5</v>
      </c>
      <c r="N33" s="13">
        <v>5</v>
      </c>
      <c r="O33" s="13">
        <v>5</v>
      </c>
      <c r="P33" s="12">
        <v>5</v>
      </c>
      <c r="Q33" s="12">
        <v>5</v>
      </c>
      <c r="R33" s="12">
        <v>5</v>
      </c>
      <c r="S33" s="13">
        <v>5</v>
      </c>
      <c r="T33" s="14">
        <v>5</v>
      </c>
      <c r="U33" s="14">
        <v>5</v>
      </c>
      <c r="V33" s="14">
        <v>5</v>
      </c>
      <c r="W33" s="14">
        <v>5</v>
      </c>
      <c r="X33" s="15">
        <v>5</v>
      </c>
      <c r="Y33" s="15">
        <v>5</v>
      </c>
      <c r="Z33" s="15">
        <v>5</v>
      </c>
      <c r="AA33" s="15">
        <v>5</v>
      </c>
      <c r="AB33" s="15">
        <v>5</v>
      </c>
      <c r="AC33" s="15">
        <v>5</v>
      </c>
      <c r="AD33" s="15">
        <v>5</v>
      </c>
      <c r="AE33" s="15">
        <v>5</v>
      </c>
      <c r="AF33" s="15">
        <v>5</v>
      </c>
      <c r="AG33" s="15">
        <v>5</v>
      </c>
      <c r="AH33" s="15">
        <v>5</v>
      </c>
      <c r="AI33" s="15">
        <v>5</v>
      </c>
      <c r="AJ33" s="15">
        <v>5</v>
      </c>
      <c r="AK33" s="15">
        <v>5</v>
      </c>
      <c r="AL33" s="15">
        <v>5</v>
      </c>
      <c r="AM33" s="15">
        <v>5</v>
      </c>
      <c r="AN33" s="15">
        <v>5</v>
      </c>
      <c r="AO33" s="15">
        <v>5</v>
      </c>
      <c r="AP33" s="15">
        <v>5</v>
      </c>
      <c r="AQ33" s="15">
        <v>5</v>
      </c>
      <c r="AR33" s="26">
        <v>45721</v>
      </c>
      <c r="AS33" s="15">
        <v>5</v>
      </c>
      <c r="AT33" s="15">
        <v>5</v>
      </c>
      <c r="AU33" s="15">
        <v>5</v>
      </c>
      <c r="AV33" s="15"/>
      <c r="AW33" s="15"/>
      <c r="AX33" s="15"/>
      <c r="AY33" s="16"/>
      <c r="AZ33" s="15"/>
      <c r="BA33" s="15"/>
      <c r="BB33" s="15"/>
      <c r="BC33" s="16"/>
      <c r="BD33" s="15"/>
      <c r="BE33" s="15"/>
      <c r="BF33" s="15"/>
      <c r="BG33" s="16"/>
      <c r="BH33" s="15"/>
      <c r="BI33" s="15"/>
      <c r="BJ33" s="15"/>
      <c r="BK33" s="16"/>
      <c r="BL33" s="15"/>
      <c r="BM33" s="15"/>
      <c r="BN33" s="15"/>
      <c r="BO33" s="16"/>
      <c r="BP33" s="15"/>
      <c r="BQ33" s="15"/>
      <c r="BR33" s="15"/>
      <c r="BS33" s="16"/>
      <c r="BT33" s="15"/>
      <c r="BU33" s="15"/>
      <c r="BV33" s="15"/>
      <c r="BW33" s="16"/>
      <c r="BX33" s="15"/>
      <c r="BY33" s="15"/>
      <c r="BZ33" s="15"/>
      <c r="CA33" s="17"/>
      <c r="CB33" s="18">
        <v>45752</v>
      </c>
      <c r="CC33" s="19"/>
      <c r="CD33" s="18">
        <v>45813</v>
      </c>
      <c r="CE33" s="19"/>
      <c r="CF33" s="20">
        <v>5</v>
      </c>
      <c r="CG33" s="21">
        <f t="shared" ref="CG33:CJ33" si="30">AVERAGE(BX33,BT33,BP33,BL33,BH33,BD33,AZ33,AV33,AR33,AN33,AJ33,AF33,AB33,X33,T33,P33,L33,H33,D33)</f>
        <v>4161</v>
      </c>
      <c r="CH33" s="22">
        <f t="shared" si="30"/>
        <v>5</v>
      </c>
      <c r="CI33" s="22">
        <f t="shared" si="30"/>
        <v>5</v>
      </c>
      <c r="CJ33" s="22">
        <f t="shared" si="30"/>
        <v>5</v>
      </c>
      <c r="CK33" s="23">
        <f>(' Follow Up 1st'!$CB33+' Follow Up 1st'!$CC33)/2</f>
        <v>22876</v>
      </c>
      <c r="CL33" s="23">
        <f>(' Follow Up 1st'!$CD33+' Follow Up 1st'!$CE33)/2</f>
        <v>22906.5</v>
      </c>
      <c r="CM33" s="24">
        <v>5</v>
      </c>
    </row>
    <row r="34" spans="1:91" ht="18.75" customHeight="1" x14ac:dyDescent="0.55000000000000004">
      <c r="A34" s="10">
        <v>32</v>
      </c>
      <c r="B34" s="25" t="s">
        <v>70</v>
      </c>
      <c r="C34" s="25" t="s">
        <v>61</v>
      </c>
      <c r="D34" s="12">
        <v>5</v>
      </c>
      <c r="E34" s="12">
        <v>5</v>
      </c>
      <c r="F34" s="12">
        <v>5</v>
      </c>
      <c r="G34" s="13">
        <v>5</v>
      </c>
      <c r="H34" s="13">
        <v>5</v>
      </c>
      <c r="I34" s="13">
        <v>5</v>
      </c>
      <c r="J34" s="13">
        <v>5</v>
      </c>
      <c r="K34" s="13">
        <v>5</v>
      </c>
      <c r="L34" s="13">
        <v>5</v>
      </c>
      <c r="M34" s="13">
        <v>5</v>
      </c>
      <c r="N34" s="13">
        <v>5</v>
      </c>
      <c r="O34" s="13">
        <v>5</v>
      </c>
      <c r="P34" s="12">
        <v>5</v>
      </c>
      <c r="Q34" s="12">
        <v>5</v>
      </c>
      <c r="R34" s="12">
        <v>5</v>
      </c>
      <c r="S34" s="13">
        <v>5</v>
      </c>
      <c r="T34" s="14">
        <v>5</v>
      </c>
      <c r="U34" s="14">
        <v>5</v>
      </c>
      <c r="V34" s="14">
        <v>5</v>
      </c>
      <c r="W34" s="14">
        <v>5</v>
      </c>
      <c r="X34" s="15">
        <v>5</v>
      </c>
      <c r="Y34" s="15">
        <v>5</v>
      </c>
      <c r="Z34" s="15">
        <v>5</v>
      </c>
      <c r="AA34" s="15">
        <v>5</v>
      </c>
      <c r="AB34" s="15">
        <v>5</v>
      </c>
      <c r="AC34" s="15">
        <v>5</v>
      </c>
      <c r="AD34" s="15">
        <v>5</v>
      </c>
      <c r="AE34" s="15">
        <v>5</v>
      </c>
      <c r="AF34" s="15">
        <v>5</v>
      </c>
      <c r="AG34" s="15">
        <v>5</v>
      </c>
      <c r="AH34" s="15">
        <v>5</v>
      </c>
      <c r="AI34" s="15">
        <v>5</v>
      </c>
      <c r="AJ34" s="15">
        <v>5</v>
      </c>
      <c r="AK34" s="15">
        <v>5</v>
      </c>
      <c r="AL34" s="15">
        <v>5</v>
      </c>
      <c r="AM34" s="15">
        <v>5</v>
      </c>
      <c r="AN34" s="15">
        <v>5</v>
      </c>
      <c r="AO34" s="15">
        <v>5</v>
      </c>
      <c r="AP34" s="15">
        <v>5</v>
      </c>
      <c r="AQ34" s="15">
        <v>5</v>
      </c>
      <c r="AR34" s="15">
        <v>5</v>
      </c>
      <c r="AS34" s="15">
        <v>5</v>
      </c>
      <c r="AT34" s="15">
        <v>5</v>
      </c>
      <c r="AU34" s="15">
        <v>5</v>
      </c>
      <c r="AV34" s="15"/>
      <c r="AW34" s="15"/>
      <c r="AX34" s="15"/>
      <c r="AY34" s="16"/>
      <c r="AZ34" s="15"/>
      <c r="BA34" s="15"/>
      <c r="BB34" s="15"/>
      <c r="BC34" s="16"/>
      <c r="BD34" s="15"/>
      <c r="BE34" s="15"/>
      <c r="BF34" s="15"/>
      <c r="BG34" s="16"/>
      <c r="BH34" s="15"/>
      <c r="BI34" s="15"/>
      <c r="BJ34" s="15"/>
      <c r="BK34" s="16"/>
      <c r="BL34" s="15"/>
      <c r="BM34" s="15"/>
      <c r="BN34" s="15"/>
      <c r="BO34" s="16"/>
      <c r="BP34" s="15"/>
      <c r="BQ34" s="15"/>
      <c r="BR34" s="15"/>
      <c r="BS34" s="16"/>
      <c r="BT34" s="15"/>
      <c r="BU34" s="15"/>
      <c r="BV34" s="15"/>
      <c r="BW34" s="16"/>
      <c r="BX34" s="15"/>
      <c r="BY34" s="15"/>
      <c r="BZ34" s="15"/>
      <c r="CA34" s="17"/>
      <c r="CB34" s="19">
        <v>5</v>
      </c>
      <c r="CC34" s="19"/>
      <c r="CD34" s="19">
        <v>10</v>
      </c>
      <c r="CE34" s="19"/>
      <c r="CF34" s="20">
        <v>5</v>
      </c>
      <c r="CG34" s="21">
        <f t="shared" ref="CG34:CJ34" si="31">AVERAGE(BX34,BT34,BP34,BL34,BH34,BD34,AZ34,AV34,AR34,AN34,AJ34,AF34,AB34,X34,T34,P34,L34,H34,D34)</f>
        <v>5</v>
      </c>
      <c r="CH34" s="22">
        <f t="shared" si="31"/>
        <v>5</v>
      </c>
      <c r="CI34" s="22">
        <f t="shared" si="31"/>
        <v>5</v>
      </c>
      <c r="CJ34" s="22">
        <f t="shared" si="31"/>
        <v>5</v>
      </c>
      <c r="CK34" s="22">
        <f>(' Follow Up 1st'!$CB34+' Follow Up 1st'!$CC34)/2</f>
        <v>2.5</v>
      </c>
      <c r="CL34" s="22">
        <f>(' Follow Up 1st'!$CD34+' Follow Up 1st'!$CE34)/2</f>
        <v>5</v>
      </c>
      <c r="CM34" s="24">
        <v>5</v>
      </c>
    </row>
    <row r="35" spans="1:91" ht="18.75" customHeight="1" x14ac:dyDescent="0.55000000000000004">
      <c r="A35" s="10">
        <v>33</v>
      </c>
      <c r="B35" s="25" t="s">
        <v>71</v>
      </c>
      <c r="C35" s="25" t="s">
        <v>61</v>
      </c>
      <c r="D35" s="12">
        <v>5</v>
      </c>
      <c r="E35" s="12">
        <v>5</v>
      </c>
      <c r="F35" s="12">
        <v>5</v>
      </c>
      <c r="G35" s="13">
        <v>5</v>
      </c>
      <c r="H35" s="13">
        <v>5</v>
      </c>
      <c r="I35" s="13">
        <v>5</v>
      </c>
      <c r="J35" s="13">
        <v>5</v>
      </c>
      <c r="K35" s="13">
        <v>5</v>
      </c>
      <c r="L35" s="13">
        <v>5</v>
      </c>
      <c r="M35" s="13">
        <v>5</v>
      </c>
      <c r="N35" s="13">
        <v>5</v>
      </c>
      <c r="O35" s="13">
        <v>5</v>
      </c>
      <c r="P35" s="12">
        <v>5</v>
      </c>
      <c r="Q35" s="12">
        <v>5</v>
      </c>
      <c r="R35" s="12">
        <v>5</v>
      </c>
      <c r="S35" s="13">
        <v>5</v>
      </c>
      <c r="T35" s="14">
        <v>5</v>
      </c>
      <c r="U35" s="14">
        <v>5</v>
      </c>
      <c r="V35" s="14">
        <v>5</v>
      </c>
      <c r="W35" s="14">
        <v>5</v>
      </c>
      <c r="X35" s="15">
        <v>5</v>
      </c>
      <c r="Y35" s="15">
        <v>5</v>
      </c>
      <c r="Z35" s="15">
        <v>5</v>
      </c>
      <c r="AA35" s="15">
        <v>5</v>
      </c>
      <c r="AB35" s="15">
        <v>5</v>
      </c>
      <c r="AC35" s="15">
        <v>5</v>
      </c>
      <c r="AD35" s="15">
        <v>5</v>
      </c>
      <c r="AE35" s="15">
        <v>5</v>
      </c>
      <c r="AF35" s="15">
        <v>5</v>
      </c>
      <c r="AG35" s="15">
        <v>5</v>
      </c>
      <c r="AH35" s="15">
        <v>5</v>
      </c>
      <c r="AI35" s="15">
        <v>5</v>
      </c>
      <c r="AJ35" s="15">
        <v>5</v>
      </c>
      <c r="AK35" s="15">
        <v>5</v>
      </c>
      <c r="AL35" s="15">
        <v>5</v>
      </c>
      <c r="AM35" s="15">
        <v>5</v>
      </c>
      <c r="AN35" s="15">
        <v>5</v>
      </c>
      <c r="AO35" s="15">
        <v>5</v>
      </c>
      <c r="AP35" s="15">
        <v>5</v>
      </c>
      <c r="AQ35" s="15">
        <v>5</v>
      </c>
      <c r="AR35" s="15">
        <v>5</v>
      </c>
      <c r="AS35" s="15">
        <v>5</v>
      </c>
      <c r="AT35" s="15">
        <v>5</v>
      </c>
      <c r="AU35" s="15">
        <v>5</v>
      </c>
      <c r="AV35" s="15"/>
      <c r="AW35" s="15"/>
      <c r="AX35" s="15"/>
      <c r="AY35" s="16"/>
      <c r="AZ35" s="15"/>
      <c r="BA35" s="15"/>
      <c r="BB35" s="15"/>
      <c r="BC35" s="16"/>
      <c r="BD35" s="15"/>
      <c r="BE35" s="15"/>
      <c r="BF35" s="15"/>
      <c r="BG35" s="16"/>
      <c r="BH35" s="15"/>
      <c r="BI35" s="15"/>
      <c r="BJ35" s="15"/>
      <c r="BK35" s="16"/>
      <c r="BL35" s="15"/>
      <c r="BM35" s="15"/>
      <c r="BN35" s="15"/>
      <c r="BO35" s="16"/>
      <c r="BP35" s="15"/>
      <c r="BQ35" s="15"/>
      <c r="BR35" s="15"/>
      <c r="BS35" s="16"/>
      <c r="BT35" s="15"/>
      <c r="BU35" s="15"/>
      <c r="BV35" s="15"/>
      <c r="BW35" s="16"/>
      <c r="BX35" s="15"/>
      <c r="BY35" s="15"/>
      <c r="BZ35" s="15"/>
      <c r="CA35" s="17"/>
      <c r="CB35" s="18">
        <v>45752</v>
      </c>
      <c r="CC35" s="19"/>
      <c r="CD35" s="18">
        <v>45874</v>
      </c>
      <c r="CE35" s="19"/>
      <c r="CF35" s="20">
        <v>5</v>
      </c>
      <c r="CG35" s="21">
        <f t="shared" ref="CG35:CJ35" si="32">AVERAGE(BX35,BT35,BP35,BL35,BH35,BD35,AZ35,AV35,AR35,AN35,AJ35,AF35,AB35,X35,T35,P35,L35,H35,D35)</f>
        <v>5</v>
      </c>
      <c r="CH35" s="22">
        <f t="shared" si="32"/>
        <v>5</v>
      </c>
      <c r="CI35" s="22">
        <f t="shared" si="32"/>
        <v>5</v>
      </c>
      <c r="CJ35" s="22">
        <f t="shared" si="32"/>
        <v>5</v>
      </c>
      <c r="CK35" s="23">
        <f>(' Follow Up 1st'!$CB35+' Follow Up 1st'!$CC35)/2</f>
        <v>22876</v>
      </c>
      <c r="CL35" s="23">
        <f>(' Follow Up 1st'!$CD35+' Follow Up 1st'!$CE35)/2</f>
        <v>22937</v>
      </c>
      <c r="CM35" s="24">
        <v>5</v>
      </c>
    </row>
    <row r="36" spans="1:91" ht="18.75" customHeight="1" x14ac:dyDescent="0.55000000000000004">
      <c r="A36" s="10">
        <v>34</v>
      </c>
      <c r="B36" s="25" t="s">
        <v>72</v>
      </c>
      <c r="C36" s="25" t="s">
        <v>61</v>
      </c>
      <c r="D36" s="12">
        <v>5</v>
      </c>
      <c r="E36" s="12">
        <v>5</v>
      </c>
      <c r="F36" s="12">
        <v>5</v>
      </c>
      <c r="G36" s="13">
        <v>5</v>
      </c>
      <c r="H36" s="13">
        <v>5</v>
      </c>
      <c r="I36" s="13">
        <v>5</v>
      </c>
      <c r="J36" s="13">
        <v>5</v>
      </c>
      <c r="K36" s="13">
        <v>5</v>
      </c>
      <c r="L36" s="13">
        <v>5</v>
      </c>
      <c r="M36" s="13">
        <v>5</v>
      </c>
      <c r="N36" s="13">
        <v>5</v>
      </c>
      <c r="O36" s="13">
        <v>5</v>
      </c>
      <c r="P36" s="12">
        <v>5</v>
      </c>
      <c r="Q36" s="12">
        <v>5</v>
      </c>
      <c r="R36" s="12">
        <v>5</v>
      </c>
      <c r="S36" s="13">
        <v>5</v>
      </c>
      <c r="T36" s="14">
        <v>5</v>
      </c>
      <c r="U36" s="14">
        <v>5</v>
      </c>
      <c r="V36" s="14">
        <v>5</v>
      </c>
      <c r="W36" s="14">
        <v>5</v>
      </c>
      <c r="X36" s="15">
        <v>5</v>
      </c>
      <c r="Y36" s="15">
        <v>5</v>
      </c>
      <c r="Z36" s="15">
        <v>5</v>
      </c>
      <c r="AA36" s="15">
        <v>5</v>
      </c>
      <c r="AB36" s="15">
        <v>5</v>
      </c>
      <c r="AC36" s="15">
        <v>5</v>
      </c>
      <c r="AD36" s="15">
        <v>5</v>
      </c>
      <c r="AE36" s="15">
        <v>5</v>
      </c>
      <c r="AF36" s="15">
        <v>5</v>
      </c>
      <c r="AG36" s="15">
        <v>5</v>
      </c>
      <c r="AH36" s="15">
        <v>5</v>
      </c>
      <c r="AI36" s="15">
        <v>5</v>
      </c>
      <c r="AJ36" s="15">
        <v>5</v>
      </c>
      <c r="AK36" s="15">
        <v>5</v>
      </c>
      <c r="AL36" s="15">
        <v>5</v>
      </c>
      <c r="AM36" s="15">
        <v>5</v>
      </c>
      <c r="AN36" s="15">
        <v>5</v>
      </c>
      <c r="AO36" s="15">
        <v>5</v>
      </c>
      <c r="AP36" s="15">
        <v>5</v>
      </c>
      <c r="AQ36" s="15">
        <v>5</v>
      </c>
      <c r="AR36" s="15">
        <v>5</v>
      </c>
      <c r="AS36" s="15">
        <v>5</v>
      </c>
      <c r="AT36" s="15">
        <v>5</v>
      </c>
      <c r="AU36" s="15">
        <v>5</v>
      </c>
      <c r="AV36" s="15"/>
      <c r="AW36" s="15"/>
      <c r="AX36" s="15"/>
      <c r="AY36" s="16"/>
      <c r="AZ36" s="15"/>
      <c r="BA36" s="15"/>
      <c r="BB36" s="15"/>
      <c r="BC36" s="16"/>
      <c r="BD36" s="15"/>
      <c r="BE36" s="15"/>
      <c r="BF36" s="15"/>
      <c r="BG36" s="16"/>
      <c r="BH36" s="15"/>
      <c r="BI36" s="15"/>
      <c r="BJ36" s="15"/>
      <c r="BK36" s="16"/>
      <c r="BL36" s="15"/>
      <c r="BM36" s="15"/>
      <c r="BN36" s="15"/>
      <c r="BO36" s="16"/>
      <c r="BP36" s="15"/>
      <c r="BQ36" s="15"/>
      <c r="BR36" s="15"/>
      <c r="BS36" s="16"/>
      <c r="BT36" s="15"/>
      <c r="BU36" s="15"/>
      <c r="BV36" s="15"/>
      <c r="BW36" s="16"/>
      <c r="BX36" s="15"/>
      <c r="BY36" s="15"/>
      <c r="BZ36" s="15"/>
      <c r="CA36" s="17"/>
      <c r="CB36" s="19">
        <v>5</v>
      </c>
      <c r="CC36" s="19"/>
      <c r="CD36" s="19">
        <v>9</v>
      </c>
      <c r="CE36" s="19"/>
      <c r="CF36" s="20">
        <v>5</v>
      </c>
      <c r="CG36" s="21">
        <f t="shared" ref="CG36:CJ36" si="33">AVERAGE(BX36,BT36,BP36,BL36,BH36,BD36,AZ36,AV36,AR36,AN36,AJ36,AF36,AB36,X36,T36,P36,L36,H36,D36)</f>
        <v>5</v>
      </c>
      <c r="CH36" s="22">
        <f t="shared" si="33"/>
        <v>5</v>
      </c>
      <c r="CI36" s="22">
        <f t="shared" si="33"/>
        <v>5</v>
      </c>
      <c r="CJ36" s="22">
        <f t="shared" si="33"/>
        <v>5</v>
      </c>
      <c r="CK36" s="22">
        <f>(' Follow Up 1st'!$CB36+' Follow Up 1st'!$CC36)/2</f>
        <v>2.5</v>
      </c>
      <c r="CL36" s="22">
        <f>(' Follow Up 1st'!$CD36+' Follow Up 1st'!$CE36)/2</f>
        <v>4.5</v>
      </c>
      <c r="CM36" s="24">
        <v>5</v>
      </c>
    </row>
    <row r="37" spans="1:91" ht="18.75" customHeight="1" x14ac:dyDescent="0.55000000000000004">
      <c r="A37" s="10">
        <v>35</v>
      </c>
      <c r="B37" s="25" t="s">
        <v>73</v>
      </c>
      <c r="C37" s="25" t="s">
        <v>61</v>
      </c>
      <c r="D37" s="12">
        <v>5</v>
      </c>
      <c r="E37" s="12">
        <v>5</v>
      </c>
      <c r="F37" s="12">
        <v>5</v>
      </c>
      <c r="G37" s="13">
        <v>5</v>
      </c>
      <c r="H37" s="13">
        <v>5</v>
      </c>
      <c r="I37" s="13">
        <v>5</v>
      </c>
      <c r="J37" s="13">
        <v>5</v>
      </c>
      <c r="K37" s="13">
        <v>5</v>
      </c>
      <c r="L37" s="13">
        <v>5</v>
      </c>
      <c r="M37" s="13">
        <v>5</v>
      </c>
      <c r="N37" s="13">
        <v>5</v>
      </c>
      <c r="O37" s="13">
        <v>5</v>
      </c>
      <c r="P37" s="12">
        <v>5</v>
      </c>
      <c r="Q37" s="12">
        <v>5</v>
      </c>
      <c r="R37" s="12">
        <v>5</v>
      </c>
      <c r="S37" s="13">
        <v>5</v>
      </c>
      <c r="T37" s="14">
        <v>5</v>
      </c>
      <c r="U37" s="14">
        <v>5</v>
      </c>
      <c r="V37" s="14">
        <v>5</v>
      </c>
      <c r="W37" s="14">
        <v>5</v>
      </c>
      <c r="X37" s="15">
        <v>5</v>
      </c>
      <c r="Y37" s="15">
        <v>5</v>
      </c>
      <c r="Z37" s="15">
        <v>5</v>
      </c>
      <c r="AA37" s="15">
        <v>5</v>
      </c>
      <c r="AB37" s="15">
        <v>5</v>
      </c>
      <c r="AC37" s="15">
        <v>5</v>
      </c>
      <c r="AD37" s="15">
        <v>5</v>
      </c>
      <c r="AE37" s="15">
        <v>5</v>
      </c>
      <c r="AF37" s="15">
        <v>5</v>
      </c>
      <c r="AG37" s="15">
        <v>5</v>
      </c>
      <c r="AH37" s="15">
        <v>5</v>
      </c>
      <c r="AI37" s="15">
        <v>5</v>
      </c>
      <c r="AJ37" s="15">
        <v>5</v>
      </c>
      <c r="AK37" s="15">
        <v>5</v>
      </c>
      <c r="AL37" s="15">
        <v>5</v>
      </c>
      <c r="AM37" s="15">
        <v>5</v>
      </c>
      <c r="AN37" s="15">
        <v>5</v>
      </c>
      <c r="AO37" s="15">
        <v>5</v>
      </c>
      <c r="AP37" s="15">
        <v>5</v>
      </c>
      <c r="AQ37" s="15">
        <v>5</v>
      </c>
      <c r="AR37" s="15">
        <v>5</v>
      </c>
      <c r="AS37" s="15">
        <v>5</v>
      </c>
      <c r="AT37" s="15">
        <v>5</v>
      </c>
      <c r="AU37" s="15">
        <v>5</v>
      </c>
      <c r="AV37" s="15"/>
      <c r="AW37" s="15"/>
      <c r="AX37" s="15"/>
      <c r="AY37" s="16"/>
      <c r="AZ37" s="15"/>
      <c r="BA37" s="15"/>
      <c r="BB37" s="15"/>
      <c r="BC37" s="16"/>
      <c r="BD37" s="15"/>
      <c r="BE37" s="15"/>
      <c r="BF37" s="15"/>
      <c r="BG37" s="16"/>
      <c r="BH37" s="15"/>
      <c r="BI37" s="15"/>
      <c r="BJ37" s="15"/>
      <c r="BK37" s="16"/>
      <c r="BL37" s="15"/>
      <c r="BM37" s="15"/>
      <c r="BN37" s="15"/>
      <c r="BO37" s="16"/>
      <c r="BP37" s="15"/>
      <c r="BQ37" s="15"/>
      <c r="BR37" s="15"/>
      <c r="BS37" s="16"/>
      <c r="BT37" s="15"/>
      <c r="BU37" s="15"/>
      <c r="BV37" s="15"/>
      <c r="BW37" s="16"/>
      <c r="BX37" s="15"/>
      <c r="BY37" s="15"/>
      <c r="BZ37" s="15"/>
      <c r="CA37" s="17"/>
      <c r="CB37" s="18">
        <v>45752</v>
      </c>
      <c r="CC37" s="19"/>
      <c r="CD37" s="18">
        <v>45782</v>
      </c>
      <c r="CE37" s="19"/>
      <c r="CF37" s="20">
        <v>5</v>
      </c>
      <c r="CG37" s="21">
        <f t="shared" ref="CG37:CJ37" si="34">AVERAGE(BX37,BT37,BP37,BL37,BH37,BD37,AZ37,AV37,AR37,AN37,AJ37,AF37,AB37,X37,T37,P37,L37,H37,D37)</f>
        <v>5</v>
      </c>
      <c r="CH37" s="22">
        <f t="shared" si="34"/>
        <v>5</v>
      </c>
      <c r="CI37" s="22">
        <f t="shared" si="34"/>
        <v>5</v>
      </c>
      <c r="CJ37" s="22">
        <f t="shared" si="34"/>
        <v>5</v>
      </c>
      <c r="CK37" s="23">
        <f>(' Follow Up 1st'!$CB37+' Follow Up 1st'!$CC37)/2</f>
        <v>22876</v>
      </c>
      <c r="CL37" s="23">
        <f>(' Follow Up 1st'!$CD37+' Follow Up 1st'!$CE37)/2</f>
        <v>22891</v>
      </c>
      <c r="CM37" s="24">
        <v>5</v>
      </c>
    </row>
    <row r="38" spans="1:91" ht="18.75" customHeight="1" x14ac:dyDescent="0.55000000000000004">
      <c r="A38" s="10">
        <v>36</v>
      </c>
      <c r="B38" s="25" t="s">
        <v>74</v>
      </c>
      <c r="C38" s="25" t="s">
        <v>61</v>
      </c>
      <c r="D38" s="12">
        <v>5</v>
      </c>
      <c r="E38" s="12">
        <v>5</v>
      </c>
      <c r="F38" s="12">
        <v>5</v>
      </c>
      <c r="G38" s="13">
        <v>5</v>
      </c>
      <c r="H38" s="13">
        <v>5</v>
      </c>
      <c r="I38" s="13">
        <v>5</v>
      </c>
      <c r="J38" s="13">
        <v>5</v>
      </c>
      <c r="K38" s="13">
        <v>5</v>
      </c>
      <c r="L38" s="13">
        <v>5</v>
      </c>
      <c r="M38" s="13">
        <v>5</v>
      </c>
      <c r="N38" s="13">
        <v>5</v>
      </c>
      <c r="O38" s="13">
        <v>5</v>
      </c>
      <c r="P38" s="12">
        <v>5</v>
      </c>
      <c r="Q38" s="12">
        <v>5</v>
      </c>
      <c r="R38" s="12">
        <v>5</v>
      </c>
      <c r="S38" s="13">
        <v>5</v>
      </c>
      <c r="T38" s="14">
        <v>5</v>
      </c>
      <c r="U38" s="14">
        <v>5</v>
      </c>
      <c r="V38" s="14">
        <v>5</v>
      </c>
      <c r="W38" s="14">
        <v>5</v>
      </c>
      <c r="X38" s="15">
        <v>5</v>
      </c>
      <c r="Y38" s="15">
        <v>5</v>
      </c>
      <c r="Z38" s="15">
        <v>5</v>
      </c>
      <c r="AA38" s="15">
        <v>5</v>
      </c>
      <c r="AB38" s="15">
        <v>5</v>
      </c>
      <c r="AC38" s="15">
        <v>5</v>
      </c>
      <c r="AD38" s="15">
        <v>5</v>
      </c>
      <c r="AE38" s="15">
        <v>5</v>
      </c>
      <c r="AF38" s="15">
        <v>5</v>
      </c>
      <c r="AG38" s="15">
        <v>5</v>
      </c>
      <c r="AH38" s="15">
        <v>5</v>
      </c>
      <c r="AI38" s="15">
        <v>5</v>
      </c>
      <c r="AJ38" s="15">
        <v>5</v>
      </c>
      <c r="AK38" s="15">
        <v>5</v>
      </c>
      <c r="AL38" s="15">
        <v>5</v>
      </c>
      <c r="AM38" s="15">
        <v>5</v>
      </c>
      <c r="AN38" s="15">
        <v>5</v>
      </c>
      <c r="AO38" s="15">
        <v>5</v>
      </c>
      <c r="AP38" s="15">
        <v>5</v>
      </c>
      <c r="AQ38" s="15">
        <v>5</v>
      </c>
      <c r="AR38" s="15">
        <v>5</v>
      </c>
      <c r="AS38" s="15">
        <v>5</v>
      </c>
      <c r="AT38" s="15">
        <v>5</v>
      </c>
      <c r="AU38" s="15">
        <v>5</v>
      </c>
      <c r="AV38" s="15"/>
      <c r="AW38" s="15"/>
      <c r="AX38" s="15"/>
      <c r="AY38" s="16"/>
      <c r="AZ38" s="15"/>
      <c r="BA38" s="15"/>
      <c r="BB38" s="15"/>
      <c r="BC38" s="16"/>
      <c r="BD38" s="15"/>
      <c r="BE38" s="15"/>
      <c r="BF38" s="15"/>
      <c r="BG38" s="16"/>
      <c r="BH38" s="15"/>
      <c r="BI38" s="15"/>
      <c r="BJ38" s="15"/>
      <c r="BK38" s="16"/>
      <c r="BL38" s="15"/>
      <c r="BM38" s="15"/>
      <c r="BN38" s="15"/>
      <c r="BO38" s="16"/>
      <c r="BP38" s="15"/>
      <c r="BQ38" s="15"/>
      <c r="BR38" s="15"/>
      <c r="BS38" s="16"/>
      <c r="BT38" s="15"/>
      <c r="BU38" s="15"/>
      <c r="BV38" s="15"/>
      <c r="BW38" s="16"/>
      <c r="BX38" s="15"/>
      <c r="BY38" s="15"/>
      <c r="BZ38" s="15"/>
      <c r="CA38" s="17"/>
      <c r="CB38" s="19">
        <v>5</v>
      </c>
      <c r="CC38" s="19"/>
      <c r="CD38" s="19">
        <v>8</v>
      </c>
      <c r="CE38" s="19"/>
      <c r="CF38" s="20">
        <v>5</v>
      </c>
      <c r="CG38" s="21">
        <f t="shared" ref="CG38:CJ38" si="35">AVERAGE(BX38,BT38,BP38,BL38,BH38,BD38,AZ38,AV38,AR38,AN38,AJ38,AF38,AB38,X38,T38,P38,L38,H38,D38)</f>
        <v>5</v>
      </c>
      <c r="CH38" s="22">
        <f t="shared" si="35"/>
        <v>5</v>
      </c>
      <c r="CI38" s="22">
        <f t="shared" si="35"/>
        <v>5</v>
      </c>
      <c r="CJ38" s="22">
        <f t="shared" si="35"/>
        <v>5</v>
      </c>
      <c r="CK38" s="22">
        <f>(' Follow Up 1st'!$CB38+' Follow Up 1st'!$CC38)/2</f>
        <v>2.5</v>
      </c>
      <c r="CL38" s="22">
        <f>(' Follow Up 1st'!$CD38+' Follow Up 1st'!$CE38)/2</f>
        <v>4</v>
      </c>
      <c r="CM38" s="24">
        <v>5</v>
      </c>
    </row>
    <row r="39" spans="1:91" ht="18.75" customHeight="1" x14ac:dyDescent="0.55000000000000004">
      <c r="A39" s="10">
        <v>37</v>
      </c>
      <c r="B39" s="25" t="s">
        <v>75</v>
      </c>
      <c r="C39" s="25" t="s">
        <v>61</v>
      </c>
      <c r="D39" s="12">
        <v>5</v>
      </c>
      <c r="E39" s="12">
        <v>5</v>
      </c>
      <c r="F39" s="12">
        <v>5</v>
      </c>
      <c r="G39" s="13">
        <v>5</v>
      </c>
      <c r="H39" s="13">
        <v>5</v>
      </c>
      <c r="I39" s="13">
        <v>5</v>
      </c>
      <c r="J39" s="13">
        <v>5</v>
      </c>
      <c r="K39" s="13">
        <v>5</v>
      </c>
      <c r="L39" s="13">
        <v>5</v>
      </c>
      <c r="M39" s="13">
        <v>5</v>
      </c>
      <c r="N39" s="13">
        <v>5</v>
      </c>
      <c r="O39" s="13">
        <v>5</v>
      </c>
      <c r="P39" s="12">
        <v>5</v>
      </c>
      <c r="Q39" s="12">
        <v>5</v>
      </c>
      <c r="R39" s="12">
        <v>5</v>
      </c>
      <c r="S39" s="13">
        <v>5</v>
      </c>
      <c r="T39" s="14">
        <v>5</v>
      </c>
      <c r="U39" s="14">
        <v>5</v>
      </c>
      <c r="V39" s="14">
        <v>5</v>
      </c>
      <c r="W39" s="14">
        <v>5</v>
      </c>
      <c r="X39" s="15">
        <v>5</v>
      </c>
      <c r="Y39" s="15">
        <v>5</v>
      </c>
      <c r="Z39" s="15">
        <v>5</v>
      </c>
      <c r="AA39" s="15">
        <v>5</v>
      </c>
      <c r="AB39" s="15">
        <v>5</v>
      </c>
      <c r="AC39" s="15">
        <v>5</v>
      </c>
      <c r="AD39" s="15">
        <v>5</v>
      </c>
      <c r="AE39" s="15">
        <v>5</v>
      </c>
      <c r="AF39" s="15">
        <v>5</v>
      </c>
      <c r="AG39" s="15">
        <v>5</v>
      </c>
      <c r="AH39" s="15">
        <v>5</v>
      </c>
      <c r="AI39" s="15">
        <v>5</v>
      </c>
      <c r="AJ39" s="15">
        <v>5</v>
      </c>
      <c r="AK39" s="15">
        <v>5</v>
      </c>
      <c r="AL39" s="15">
        <v>5</v>
      </c>
      <c r="AM39" s="15">
        <v>5</v>
      </c>
      <c r="AN39" s="15">
        <v>5</v>
      </c>
      <c r="AO39" s="15">
        <v>5</v>
      </c>
      <c r="AP39" s="15">
        <v>5</v>
      </c>
      <c r="AQ39" s="15">
        <v>5</v>
      </c>
      <c r="AR39" s="15">
        <v>5</v>
      </c>
      <c r="AS39" s="15">
        <v>5</v>
      </c>
      <c r="AT39" s="15">
        <v>5</v>
      </c>
      <c r="AU39" s="15">
        <v>5</v>
      </c>
      <c r="AV39" s="15"/>
      <c r="AW39" s="15"/>
      <c r="AX39" s="15"/>
      <c r="AY39" s="16"/>
      <c r="AZ39" s="15"/>
      <c r="BA39" s="15"/>
      <c r="BB39" s="15"/>
      <c r="BC39" s="16"/>
      <c r="BD39" s="15"/>
      <c r="BE39" s="15"/>
      <c r="BF39" s="15"/>
      <c r="BG39" s="16"/>
      <c r="BH39" s="15"/>
      <c r="BI39" s="15"/>
      <c r="BJ39" s="15"/>
      <c r="BK39" s="16"/>
      <c r="BL39" s="15"/>
      <c r="BM39" s="15"/>
      <c r="BN39" s="15"/>
      <c r="BO39" s="16"/>
      <c r="BP39" s="15"/>
      <c r="BQ39" s="15"/>
      <c r="BR39" s="15"/>
      <c r="BS39" s="16"/>
      <c r="BT39" s="15"/>
      <c r="BU39" s="15"/>
      <c r="BV39" s="15"/>
      <c r="BW39" s="16"/>
      <c r="BX39" s="15"/>
      <c r="BY39" s="15"/>
      <c r="BZ39" s="15"/>
      <c r="CA39" s="17"/>
      <c r="CB39" s="19">
        <v>5</v>
      </c>
      <c r="CC39" s="19"/>
      <c r="CD39" s="18">
        <v>45843</v>
      </c>
      <c r="CE39" s="19"/>
      <c r="CF39" s="20">
        <v>5</v>
      </c>
      <c r="CG39" s="21">
        <f t="shared" ref="CG39:CJ39" si="36">AVERAGE(BX39,BT39,BP39,BL39,BH39,BD39,AZ39,AV39,AR39,AN39,AJ39,AF39,AB39,X39,T39,P39,L39,H39,D39)</f>
        <v>5</v>
      </c>
      <c r="CH39" s="22">
        <f t="shared" si="36"/>
        <v>5</v>
      </c>
      <c r="CI39" s="22">
        <f t="shared" si="36"/>
        <v>5</v>
      </c>
      <c r="CJ39" s="22">
        <f t="shared" si="36"/>
        <v>5</v>
      </c>
      <c r="CK39" s="22">
        <f>(' Follow Up 1st'!$CB39+' Follow Up 1st'!$CC39)/2</f>
        <v>2.5</v>
      </c>
      <c r="CL39" s="23">
        <f>(' Follow Up 1st'!$CD39+' Follow Up 1st'!$CE39)/2</f>
        <v>22921.5</v>
      </c>
      <c r="CM39" s="24">
        <v>5</v>
      </c>
    </row>
    <row r="40" spans="1:91" ht="18.75" customHeight="1" x14ac:dyDescent="0.55000000000000004">
      <c r="A40" s="10">
        <v>38</v>
      </c>
      <c r="B40" s="25" t="s">
        <v>76</v>
      </c>
      <c r="C40" s="25" t="s">
        <v>61</v>
      </c>
      <c r="D40" s="12">
        <v>5</v>
      </c>
      <c r="E40" s="12">
        <v>5</v>
      </c>
      <c r="F40" s="12">
        <v>5</v>
      </c>
      <c r="G40" s="13">
        <v>5</v>
      </c>
      <c r="H40" s="13">
        <v>5</v>
      </c>
      <c r="I40" s="13">
        <v>5</v>
      </c>
      <c r="J40" s="13">
        <v>5</v>
      </c>
      <c r="K40" s="13">
        <v>5</v>
      </c>
      <c r="L40" s="13">
        <v>5</v>
      </c>
      <c r="M40" s="13">
        <v>5</v>
      </c>
      <c r="N40" s="13">
        <v>5</v>
      </c>
      <c r="O40" s="13">
        <v>5</v>
      </c>
      <c r="P40" s="12">
        <v>5</v>
      </c>
      <c r="Q40" s="12">
        <v>5</v>
      </c>
      <c r="R40" s="12">
        <v>5</v>
      </c>
      <c r="S40" s="13">
        <v>5</v>
      </c>
      <c r="T40" s="14">
        <v>5</v>
      </c>
      <c r="U40" s="14">
        <v>5</v>
      </c>
      <c r="V40" s="14">
        <v>5</v>
      </c>
      <c r="W40" s="14">
        <v>5</v>
      </c>
      <c r="X40" s="15">
        <v>5</v>
      </c>
      <c r="Y40" s="15">
        <v>5</v>
      </c>
      <c r="Z40" s="15">
        <v>5</v>
      </c>
      <c r="AA40" s="15">
        <v>5</v>
      </c>
      <c r="AB40" s="15">
        <v>5</v>
      </c>
      <c r="AC40" s="15">
        <v>5</v>
      </c>
      <c r="AD40" s="15">
        <v>5</v>
      </c>
      <c r="AE40" s="15">
        <v>5</v>
      </c>
      <c r="AF40" s="15">
        <v>5</v>
      </c>
      <c r="AG40" s="15">
        <v>5</v>
      </c>
      <c r="AH40" s="15">
        <v>5</v>
      </c>
      <c r="AI40" s="15">
        <v>5</v>
      </c>
      <c r="AJ40" s="15">
        <v>5</v>
      </c>
      <c r="AK40" s="15">
        <v>5</v>
      </c>
      <c r="AL40" s="15">
        <v>5</v>
      </c>
      <c r="AM40" s="15">
        <v>5</v>
      </c>
      <c r="AN40" s="15">
        <v>5</v>
      </c>
      <c r="AO40" s="15">
        <v>5</v>
      </c>
      <c r="AP40" s="15">
        <v>5</v>
      </c>
      <c r="AQ40" s="15">
        <v>5</v>
      </c>
      <c r="AR40" s="15">
        <v>5</v>
      </c>
      <c r="AS40" s="15">
        <v>5</v>
      </c>
      <c r="AT40" s="15">
        <v>5</v>
      </c>
      <c r="AU40" s="15">
        <v>5</v>
      </c>
      <c r="AV40" s="15"/>
      <c r="AW40" s="15"/>
      <c r="AX40" s="15"/>
      <c r="AY40" s="16"/>
      <c r="AZ40" s="15"/>
      <c r="BA40" s="15"/>
      <c r="BB40" s="15"/>
      <c r="BC40" s="16"/>
      <c r="BD40" s="15"/>
      <c r="BE40" s="15"/>
      <c r="BF40" s="15"/>
      <c r="BG40" s="16"/>
      <c r="BH40" s="15"/>
      <c r="BI40" s="15"/>
      <c r="BJ40" s="15"/>
      <c r="BK40" s="16"/>
      <c r="BL40" s="15"/>
      <c r="BM40" s="15"/>
      <c r="BN40" s="15"/>
      <c r="BO40" s="16"/>
      <c r="BP40" s="15"/>
      <c r="BQ40" s="15"/>
      <c r="BR40" s="15"/>
      <c r="BS40" s="16"/>
      <c r="BT40" s="15"/>
      <c r="BU40" s="15"/>
      <c r="BV40" s="15"/>
      <c r="BW40" s="16"/>
      <c r="BX40" s="15"/>
      <c r="BY40" s="15"/>
      <c r="BZ40" s="15"/>
      <c r="CA40" s="17"/>
      <c r="CB40" s="19">
        <v>5</v>
      </c>
      <c r="CC40" s="19"/>
      <c r="CD40" s="19">
        <v>7</v>
      </c>
      <c r="CE40" s="19"/>
      <c r="CF40" s="20">
        <v>5</v>
      </c>
      <c r="CG40" s="21">
        <f t="shared" ref="CG40:CJ40" si="37">AVERAGE(BX40,BT40,BP40,BL40,BH40,BD40,AZ40,AV40,AR40,AN40,AJ40,AF40,AB40,X40,T40,P40,L40,H40,D40)</f>
        <v>5</v>
      </c>
      <c r="CH40" s="22">
        <f t="shared" si="37"/>
        <v>5</v>
      </c>
      <c r="CI40" s="22">
        <f t="shared" si="37"/>
        <v>5</v>
      </c>
      <c r="CJ40" s="22">
        <f t="shared" si="37"/>
        <v>5</v>
      </c>
      <c r="CK40" s="22">
        <f>(' Follow Up 1st'!$CB40+' Follow Up 1st'!$CC40)/2</f>
        <v>2.5</v>
      </c>
      <c r="CL40" s="22">
        <f>(' Follow Up 1st'!$CD40+' Follow Up 1st'!$CE40)/2</f>
        <v>3.5</v>
      </c>
      <c r="CM40" s="24">
        <v>5</v>
      </c>
    </row>
    <row r="41" spans="1:91" ht="18.75" customHeight="1" x14ac:dyDescent="0.55000000000000004">
      <c r="A41" s="10">
        <v>39</v>
      </c>
      <c r="B41" s="25" t="s">
        <v>77</v>
      </c>
      <c r="C41" s="25" t="s">
        <v>61</v>
      </c>
      <c r="D41" s="12">
        <v>5</v>
      </c>
      <c r="E41" s="12">
        <v>5</v>
      </c>
      <c r="F41" s="12">
        <v>5</v>
      </c>
      <c r="G41" s="13">
        <v>5</v>
      </c>
      <c r="H41" s="13">
        <v>5</v>
      </c>
      <c r="I41" s="13">
        <v>5</v>
      </c>
      <c r="J41" s="13">
        <v>5</v>
      </c>
      <c r="K41" s="13">
        <v>5</v>
      </c>
      <c r="L41" s="13">
        <v>5</v>
      </c>
      <c r="M41" s="13">
        <v>5</v>
      </c>
      <c r="N41" s="13">
        <v>5</v>
      </c>
      <c r="O41" s="13">
        <v>5</v>
      </c>
      <c r="P41" s="12">
        <v>5</v>
      </c>
      <c r="Q41" s="12">
        <v>5</v>
      </c>
      <c r="R41" s="12">
        <v>5</v>
      </c>
      <c r="S41" s="13">
        <v>5</v>
      </c>
      <c r="T41" s="14">
        <v>5</v>
      </c>
      <c r="U41" s="14">
        <v>5</v>
      </c>
      <c r="V41" s="14">
        <v>5</v>
      </c>
      <c r="W41" s="14">
        <v>5</v>
      </c>
      <c r="X41" s="15">
        <v>5</v>
      </c>
      <c r="Y41" s="15">
        <v>5</v>
      </c>
      <c r="Z41" s="15">
        <v>5</v>
      </c>
      <c r="AA41" s="15">
        <v>5</v>
      </c>
      <c r="AB41" s="15">
        <v>5</v>
      </c>
      <c r="AC41" s="15">
        <v>5</v>
      </c>
      <c r="AD41" s="15">
        <v>5</v>
      </c>
      <c r="AE41" s="15">
        <v>5</v>
      </c>
      <c r="AF41" s="15">
        <v>5</v>
      </c>
      <c r="AG41" s="15">
        <v>5</v>
      </c>
      <c r="AH41" s="15">
        <v>5</v>
      </c>
      <c r="AI41" s="15">
        <v>5</v>
      </c>
      <c r="AJ41" s="15">
        <v>5</v>
      </c>
      <c r="AK41" s="15">
        <v>5</v>
      </c>
      <c r="AL41" s="15">
        <v>5</v>
      </c>
      <c r="AM41" s="15">
        <v>5</v>
      </c>
      <c r="AN41" s="15">
        <v>5</v>
      </c>
      <c r="AO41" s="15">
        <v>5</v>
      </c>
      <c r="AP41" s="15">
        <v>5</v>
      </c>
      <c r="AQ41" s="15">
        <v>5</v>
      </c>
      <c r="AR41" s="15">
        <v>5</v>
      </c>
      <c r="AS41" s="15">
        <v>5</v>
      </c>
      <c r="AT41" s="15">
        <v>5</v>
      </c>
      <c r="AU41" s="15">
        <v>5</v>
      </c>
      <c r="AV41" s="15"/>
      <c r="AW41" s="15"/>
      <c r="AX41" s="15"/>
      <c r="AY41" s="16"/>
      <c r="AZ41" s="15"/>
      <c r="BA41" s="15"/>
      <c r="BB41" s="15"/>
      <c r="BC41" s="16"/>
      <c r="BD41" s="15"/>
      <c r="BE41" s="15"/>
      <c r="BF41" s="15"/>
      <c r="BG41" s="16"/>
      <c r="BH41" s="15"/>
      <c r="BI41" s="15"/>
      <c r="BJ41" s="15"/>
      <c r="BK41" s="16"/>
      <c r="BL41" s="15"/>
      <c r="BM41" s="15"/>
      <c r="BN41" s="15"/>
      <c r="BO41" s="16"/>
      <c r="BP41" s="15"/>
      <c r="BQ41" s="15"/>
      <c r="BR41" s="15"/>
      <c r="BS41" s="16"/>
      <c r="BT41" s="15"/>
      <c r="BU41" s="15"/>
      <c r="BV41" s="15"/>
      <c r="BW41" s="16"/>
      <c r="BX41" s="15"/>
      <c r="BY41" s="15"/>
      <c r="BZ41" s="15"/>
      <c r="CA41" s="17"/>
      <c r="CB41" s="19">
        <v>5</v>
      </c>
      <c r="CC41" s="19"/>
      <c r="CD41" s="19">
        <v>5</v>
      </c>
      <c r="CE41" s="19"/>
      <c r="CF41" s="20">
        <v>5</v>
      </c>
      <c r="CG41" s="21">
        <f t="shared" ref="CG41:CJ41" si="38">AVERAGE(BX41,BT41,BP41,BL41,BH41,BD41,AZ41,AV41,AR41,AN41,AJ41,AF41,AB41,X41,T41,P41,L41,H41,D41)</f>
        <v>5</v>
      </c>
      <c r="CH41" s="22">
        <f t="shared" si="38"/>
        <v>5</v>
      </c>
      <c r="CI41" s="22">
        <f t="shared" si="38"/>
        <v>5</v>
      </c>
      <c r="CJ41" s="22">
        <f t="shared" si="38"/>
        <v>5</v>
      </c>
      <c r="CK41" s="22">
        <f>(' Follow Up 1st'!$CB41+' Follow Up 1st'!$CC41)/2</f>
        <v>2.5</v>
      </c>
      <c r="CL41" s="22">
        <f>(' Follow Up 1st'!$CD41+' Follow Up 1st'!$CE41)/2</f>
        <v>2.5</v>
      </c>
      <c r="CM41" s="24">
        <v>5</v>
      </c>
    </row>
    <row r="42" spans="1:91" ht="18.75" customHeight="1" x14ac:dyDescent="0.55000000000000004">
      <c r="A42" s="10">
        <v>40</v>
      </c>
      <c r="B42" s="25" t="s">
        <v>78</v>
      </c>
      <c r="C42" s="25" t="s">
        <v>61</v>
      </c>
      <c r="D42" s="12">
        <v>5</v>
      </c>
      <c r="E42" s="12">
        <v>5</v>
      </c>
      <c r="F42" s="12">
        <v>5</v>
      </c>
      <c r="G42" s="13">
        <v>5</v>
      </c>
      <c r="H42" s="13">
        <v>5</v>
      </c>
      <c r="I42" s="13">
        <v>5</v>
      </c>
      <c r="J42" s="13">
        <v>5</v>
      </c>
      <c r="K42" s="13">
        <v>5</v>
      </c>
      <c r="L42" s="13">
        <v>5</v>
      </c>
      <c r="M42" s="13">
        <v>5</v>
      </c>
      <c r="N42" s="13">
        <v>5</v>
      </c>
      <c r="O42" s="13">
        <v>5</v>
      </c>
      <c r="P42" s="12">
        <v>5</v>
      </c>
      <c r="Q42" s="12">
        <v>5</v>
      </c>
      <c r="R42" s="12">
        <v>5</v>
      </c>
      <c r="S42" s="13">
        <v>5</v>
      </c>
      <c r="T42" s="14">
        <v>5</v>
      </c>
      <c r="U42" s="14">
        <v>5</v>
      </c>
      <c r="V42" s="14">
        <v>5</v>
      </c>
      <c r="W42" s="14">
        <v>5</v>
      </c>
      <c r="X42" s="15">
        <v>5</v>
      </c>
      <c r="Y42" s="15">
        <v>5</v>
      </c>
      <c r="Z42" s="15">
        <v>5</v>
      </c>
      <c r="AA42" s="15">
        <v>5</v>
      </c>
      <c r="AB42" s="15">
        <v>5</v>
      </c>
      <c r="AC42" s="15">
        <v>5</v>
      </c>
      <c r="AD42" s="15">
        <v>5</v>
      </c>
      <c r="AE42" s="15">
        <v>5</v>
      </c>
      <c r="AF42" s="15">
        <v>5</v>
      </c>
      <c r="AG42" s="15">
        <v>5</v>
      </c>
      <c r="AH42" s="15">
        <v>5</v>
      </c>
      <c r="AI42" s="15">
        <v>5</v>
      </c>
      <c r="AJ42" s="15">
        <v>5</v>
      </c>
      <c r="AK42" s="15">
        <v>5</v>
      </c>
      <c r="AL42" s="15">
        <v>5</v>
      </c>
      <c r="AM42" s="15">
        <v>5</v>
      </c>
      <c r="AN42" s="15">
        <v>5</v>
      </c>
      <c r="AO42" s="15">
        <v>5</v>
      </c>
      <c r="AP42" s="15">
        <v>5</v>
      </c>
      <c r="AQ42" s="15">
        <v>5</v>
      </c>
      <c r="AR42" s="15">
        <v>5</v>
      </c>
      <c r="AS42" s="15">
        <v>5</v>
      </c>
      <c r="AT42" s="15">
        <v>5</v>
      </c>
      <c r="AU42" s="15">
        <v>5</v>
      </c>
      <c r="AV42" s="15"/>
      <c r="AW42" s="15"/>
      <c r="AX42" s="15"/>
      <c r="AY42" s="16"/>
      <c r="AZ42" s="15"/>
      <c r="BA42" s="15"/>
      <c r="BB42" s="15"/>
      <c r="BC42" s="16"/>
      <c r="BD42" s="15"/>
      <c r="BE42" s="15"/>
      <c r="BF42" s="15"/>
      <c r="BG42" s="16"/>
      <c r="BH42" s="15"/>
      <c r="BI42" s="15"/>
      <c r="BJ42" s="15"/>
      <c r="BK42" s="16"/>
      <c r="BL42" s="15"/>
      <c r="BM42" s="15"/>
      <c r="BN42" s="15"/>
      <c r="BO42" s="16"/>
      <c r="BP42" s="15"/>
      <c r="BQ42" s="15"/>
      <c r="BR42" s="15"/>
      <c r="BS42" s="16"/>
      <c r="BT42" s="15"/>
      <c r="BU42" s="15"/>
      <c r="BV42" s="15"/>
      <c r="BW42" s="16"/>
      <c r="BX42" s="15"/>
      <c r="BY42" s="15"/>
      <c r="BZ42" s="15"/>
      <c r="CA42" s="17"/>
      <c r="CB42" s="18">
        <v>45752</v>
      </c>
      <c r="CC42" s="19"/>
      <c r="CD42" s="19">
        <v>6</v>
      </c>
      <c r="CE42" s="19"/>
      <c r="CF42" s="20">
        <v>5</v>
      </c>
      <c r="CG42" s="21">
        <f t="shared" ref="CG42:CJ42" si="39">AVERAGE(BX42,BT42,BP42,BL42,BH42,BD42,AZ42,AV42,AR42,AN42,AJ42,AF42,AB42,X42,T42,P42,L42,H42,D42)</f>
        <v>5</v>
      </c>
      <c r="CH42" s="22">
        <f t="shared" si="39"/>
        <v>5</v>
      </c>
      <c r="CI42" s="22">
        <f t="shared" si="39"/>
        <v>5</v>
      </c>
      <c r="CJ42" s="22">
        <f t="shared" si="39"/>
        <v>5</v>
      </c>
      <c r="CK42" s="23">
        <f>(' Follow Up 1st'!$CB42+' Follow Up 1st'!$CC42)/2</f>
        <v>22876</v>
      </c>
      <c r="CL42" s="22">
        <f>(' Follow Up 1st'!$CD42+' Follow Up 1st'!$CE42)/2</f>
        <v>3</v>
      </c>
      <c r="CM42" s="24">
        <v>5</v>
      </c>
    </row>
    <row r="43" spans="1:91" ht="18.75" customHeight="1" x14ac:dyDescent="0.55000000000000004">
      <c r="A43" s="10">
        <v>41</v>
      </c>
      <c r="B43" s="25" t="s">
        <v>79</v>
      </c>
      <c r="C43" s="25" t="s">
        <v>61</v>
      </c>
      <c r="D43" s="12">
        <v>5</v>
      </c>
      <c r="E43" s="12">
        <v>5</v>
      </c>
      <c r="F43" s="12">
        <v>5</v>
      </c>
      <c r="G43" s="13">
        <v>5</v>
      </c>
      <c r="H43" s="13">
        <v>5</v>
      </c>
      <c r="I43" s="13">
        <v>5</v>
      </c>
      <c r="J43" s="13">
        <v>5</v>
      </c>
      <c r="K43" s="13">
        <v>5</v>
      </c>
      <c r="L43" s="13">
        <v>5</v>
      </c>
      <c r="M43" s="13">
        <v>5</v>
      </c>
      <c r="N43" s="13">
        <v>5</v>
      </c>
      <c r="O43" s="13">
        <v>5</v>
      </c>
      <c r="P43" s="12">
        <v>5</v>
      </c>
      <c r="Q43" s="12">
        <v>5</v>
      </c>
      <c r="R43" s="12">
        <v>5</v>
      </c>
      <c r="S43" s="13">
        <v>5</v>
      </c>
      <c r="T43" s="14">
        <v>5</v>
      </c>
      <c r="U43" s="14">
        <v>5</v>
      </c>
      <c r="V43" s="14">
        <v>5</v>
      </c>
      <c r="W43" s="14">
        <v>5</v>
      </c>
      <c r="X43" s="15">
        <v>5</v>
      </c>
      <c r="Y43" s="15">
        <v>5</v>
      </c>
      <c r="Z43" s="15">
        <v>5</v>
      </c>
      <c r="AA43" s="15">
        <v>5</v>
      </c>
      <c r="AB43" s="15">
        <v>5</v>
      </c>
      <c r="AC43" s="15">
        <v>5</v>
      </c>
      <c r="AD43" s="15">
        <v>5</v>
      </c>
      <c r="AE43" s="15">
        <v>5</v>
      </c>
      <c r="AF43" s="15">
        <v>5</v>
      </c>
      <c r="AG43" s="15">
        <v>5</v>
      </c>
      <c r="AH43" s="15">
        <v>5</v>
      </c>
      <c r="AI43" s="15">
        <v>5</v>
      </c>
      <c r="AJ43" s="15">
        <v>5</v>
      </c>
      <c r="AK43" s="15">
        <v>5</v>
      </c>
      <c r="AL43" s="15">
        <v>5</v>
      </c>
      <c r="AM43" s="15">
        <v>5</v>
      </c>
      <c r="AN43" s="15">
        <v>5</v>
      </c>
      <c r="AO43" s="15">
        <v>5</v>
      </c>
      <c r="AP43" s="15">
        <v>5</v>
      </c>
      <c r="AQ43" s="15">
        <v>5</v>
      </c>
      <c r="AR43" s="15">
        <v>5</v>
      </c>
      <c r="AS43" s="15">
        <v>5</v>
      </c>
      <c r="AT43" s="15">
        <v>5</v>
      </c>
      <c r="AU43" s="15">
        <v>5</v>
      </c>
      <c r="AV43" s="15"/>
      <c r="AW43" s="15"/>
      <c r="AX43" s="15"/>
      <c r="AY43" s="16"/>
      <c r="AZ43" s="15"/>
      <c r="BA43" s="15"/>
      <c r="BB43" s="15"/>
      <c r="BC43" s="16"/>
      <c r="BD43" s="15"/>
      <c r="BE43" s="15"/>
      <c r="BF43" s="15"/>
      <c r="BG43" s="16"/>
      <c r="BH43" s="15"/>
      <c r="BI43" s="15"/>
      <c r="BJ43" s="15"/>
      <c r="BK43" s="16"/>
      <c r="BL43" s="15"/>
      <c r="BM43" s="15"/>
      <c r="BN43" s="15"/>
      <c r="BO43" s="16"/>
      <c r="BP43" s="15"/>
      <c r="BQ43" s="15"/>
      <c r="BR43" s="15"/>
      <c r="BS43" s="16"/>
      <c r="BT43" s="15"/>
      <c r="BU43" s="15"/>
      <c r="BV43" s="15"/>
      <c r="BW43" s="16"/>
      <c r="BX43" s="15"/>
      <c r="BY43" s="15"/>
      <c r="BZ43" s="15"/>
      <c r="CA43" s="17"/>
      <c r="CB43" s="19">
        <v>5</v>
      </c>
      <c r="CC43" s="19"/>
      <c r="CD43" s="19">
        <v>10</v>
      </c>
      <c r="CE43" s="19"/>
      <c r="CF43" s="20">
        <v>5</v>
      </c>
      <c r="CG43" s="21">
        <f t="shared" ref="CG43:CJ43" si="40">AVERAGE(BX43,BT43,BP43,BL43,BH43,BD43,AZ43,AV43,AR43,AN43,AJ43,AF43,AB43,X43,T43,P43,L43,H43,D43)</f>
        <v>5</v>
      </c>
      <c r="CH43" s="22">
        <f t="shared" si="40"/>
        <v>5</v>
      </c>
      <c r="CI43" s="22">
        <f t="shared" si="40"/>
        <v>5</v>
      </c>
      <c r="CJ43" s="22">
        <f t="shared" si="40"/>
        <v>5</v>
      </c>
      <c r="CK43" s="22">
        <f>(' Follow Up 1st'!$CB43+' Follow Up 1st'!$CC43)/2</f>
        <v>2.5</v>
      </c>
      <c r="CL43" s="22">
        <f>(' Follow Up 1st'!$CD43+' Follow Up 1st'!$CE43)/2</f>
        <v>5</v>
      </c>
      <c r="CM43" s="24">
        <v>5</v>
      </c>
    </row>
    <row r="44" spans="1:91" ht="18.75" customHeight="1" x14ac:dyDescent="0.55000000000000004">
      <c r="A44" s="10">
        <v>42</v>
      </c>
      <c r="B44" s="25" t="s">
        <v>80</v>
      </c>
      <c r="C44" s="25" t="s">
        <v>61</v>
      </c>
      <c r="D44" s="12">
        <v>5</v>
      </c>
      <c r="E44" s="12">
        <v>5</v>
      </c>
      <c r="F44" s="12">
        <v>5</v>
      </c>
      <c r="G44" s="13">
        <v>5</v>
      </c>
      <c r="H44" s="13">
        <v>5</v>
      </c>
      <c r="I44" s="13">
        <v>5</v>
      </c>
      <c r="J44" s="13">
        <v>5</v>
      </c>
      <c r="K44" s="13">
        <v>5</v>
      </c>
      <c r="L44" s="13">
        <v>5</v>
      </c>
      <c r="M44" s="13">
        <v>5</v>
      </c>
      <c r="N44" s="13">
        <v>5</v>
      </c>
      <c r="O44" s="13">
        <v>5</v>
      </c>
      <c r="P44" s="12">
        <v>5</v>
      </c>
      <c r="Q44" s="12">
        <v>5</v>
      </c>
      <c r="R44" s="12">
        <v>5</v>
      </c>
      <c r="S44" s="13">
        <v>5</v>
      </c>
      <c r="T44" s="14">
        <v>5</v>
      </c>
      <c r="U44" s="14">
        <v>5</v>
      </c>
      <c r="V44" s="14">
        <v>5</v>
      </c>
      <c r="W44" s="14">
        <v>5</v>
      </c>
      <c r="X44" s="15">
        <v>5</v>
      </c>
      <c r="Y44" s="15">
        <v>5</v>
      </c>
      <c r="Z44" s="15">
        <v>5</v>
      </c>
      <c r="AA44" s="15">
        <v>5</v>
      </c>
      <c r="AB44" s="15">
        <v>5</v>
      </c>
      <c r="AC44" s="15">
        <v>5</v>
      </c>
      <c r="AD44" s="15">
        <v>5</v>
      </c>
      <c r="AE44" s="15">
        <v>5</v>
      </c>
      <c r="AF44" s="15">
        <v>5</v>
      </c>
      <c r="AG44" s="15">
        <v>5</v>
      </c>
      <c r="AH44" s="15">
        <v>5</v>
      </c>
      <c r="AI44" s="15">
        <v>5</v>
      </c>
      <c r="AJ44" s="15">
        <v>5</v>
      </c>
      <c r="AK44" s="15">
        <v>5</v>
      </c>
      <c r="AL44" s="15">
        <v>5</v>
      </c>
      <c r="AM44" s="15">
        <v>5</v>
      </c>
      <c r="AN44" s="15">
        <v>5</v>
      </c>
      <c r="AO44" s="15">
        <v>5</v>
      </c>
      <c r="AP44" s="15">
        <v>5</v>
      </c>
      <c r="AQ44" s="15">
        <v>5</v>
      </c>
      <c r="AR44" s="15">
        <v>5</v>
      </c>
      <c r="AS44" s="15">
        <v>5</v>
      </c>
      <c r="AT44" s="15">
        <v>5</v>
      </c>
      <c r="AU44" s="15">
        <v>5</v>
      </c>
      <c r="AV44" s="15"/>
      <c r="AW44" s="15"/>
      <c r="AX44" s="15"/>
      <c r="AY44" s="16"/>
      <c r="AZ44" s="15"/>
      <c r="BA44" s="15"/>
      <c r="BB44" s="15"/>
      <c r="BC44" s="16"/>
      <c r="BD44" s="15"/>
      <c r="BE44" s="15"/>
      <c r="BF44" s="15"/>
      <c r="BG44" s="16"/>
      <c r="BH44" s="15"/>
      <c r="BI44" s="15"/>
      <c r="BJ44" s="15"/>
      <c r="BK44" s="16"/>
      <c r="BL44" s="15"/>
      <c r="BM44" s="15"/>
      <c r="BN44" s="15"/>
      <c r="BO44" s="16"/>
      <c r="BP44" s="15"/>
      <c r="BQ44" s="15"/>
      <c r="BR44" s="15"/>
      <c r="BS44" s="16"/>
      <c r="BT44" s="15"/>
      <c r="BU44" s="15"/>
      <c r="BV44" s="15"/>
      <c r="BW44" s="16"/>
      <c r="BX44" s="15"/>
      <c r="BY44" s="15"/>
      <c r="BZ44" s="15"/>
      <c r="CA44" s="17"/>
      <c r="CB44" s="19">
        <v>5</v>
      </c>
      <c r="CC44" s="19"/>
      <c r="CD44" s="18">
        <v>45843</v>
      </c>
      <c r="CE44" s="19"/>
      <c r="CF44" s="20">
        <v>5</v>
      </c>
      <c r="CG44" s="21">
        <f t="shared" ref="CG44:CJ44" si="41">AVERAGE(BX44,BT44,BP44,BL44,BH44,BD44,AZ44,AV44,AR44,AN44,AJ44,AF44,AB44,X44,T44,P44,L44,H44,D44)</f>
        <v>5</v>
      </c>
      <c r="CH44" s="22">
        <f t="shared" si="41"/>
        <v>5</v>
      </c>
      <c r="CI44" s="22">
        <f t="shared" si="41"/>
        <v>5</v>
      </c>
      <c r="CJ44" s="22">
        <f t="shared" si="41"/>
        <v>5</v>
      </c>
      <c r="CK44" s="22">
        <f>(' Follow Up 1st'!$CB44+' Follow Up 1st'!$CC44)/2</f>
        <v>2.5</v>
      </c>
      <c r="CL44" s="23">
        <f>(' Follow Up 1st'!$CD44+' Follow Up 1st'!$CE44)/2</f>
        <v>22921.5</v>
      </c>
      <c r="CM44" s="24">
        <v>5</v>
      </c>
    </row>
    <row r="45" spans="1:91" ht="18.75" customHeight="1" x14ac:dyDescent="0.55000000000000004">
      <c r="A45" s="10">
        <v>43</v>
      </c>
      <c r="B45" s="25" t="s">
        <v>81</v>
      </c>
      <c r="C45" s="25" t="s">
        <v>82</v>
      </c>
      <c r="D45" s="12">
        <v>5</v>
      </c>
      <c r="E45" s="12">
        <v>5</v>
      </c>
      <c r="F45" s="12">
        <v>5</v>
      </c>
      <c r="G45" s="13">
        <v>5</v>
      </c>
      <c r="H45" s="13">
        <v>5</v>
      </c>
      <c r="I45" s="13">
        <v>5</v>
      </c>
      <c r="J45" s="13">
        <v>5</v>
      </c>
      <c r="K45" s="13">
        <v>5</v>
      </c>
      <c r="L45" s="13">
        <v>5</v>
      </c>
      <c r="M45" s="13">
        <v>5</v>
      </c>
      <c r="N45" s="13">
        <v>5</v>
      </c>
      <c r="O45" s="13">
        <v>5</v>
      </c>
      <c r="P45" s="12">
        <v>5</v>
      </c>
      <c r="Q45" s="12">
        <v>5</v>
      </c>
      <c r="R45" s="12">
        <v>5</v>
      </c>
      <c r="S45" s="13">
        <v>5</v>
      </c>
      <c r="T45" s="14">
        <v>5</v>
      </c>
      <c r="U45" s="14">
        <v>5</v>
      </c>
      <c r="V45" s="14">
        <v>5</v>
      </c>
      <c r="W45" s="14">
        <v>5</v>
      </c>
      <c r="X45" s="15">
        <v>5</v>
      </c>
      <c r="Y45" s="15">
        <v>5</v>
      </c>
      <c r="Z45" s="15">
        <v>5</v>
      </c>
      <c r="AA45" s="15">
        <v>5</v>
      </c>
      <c r="AB45" s="15">
        <v>5</v>
      </c>
      <c r="AC45" s="15">
        <v>5</v>
      </c>
      <c r="AD45" s="15">
        <v>5</v>
      </c>
      <c r="AE45" s="15">
        <v>5</v>
      </c>
      <c r="AF45" s="15">
        <v>5</v>
      </c>
      <c r="AG45" s="15">
        <v>5</v>
      </c>
      <c r="AH45" s="15">
        <v>5</v>
      </c>
      <c r="AI45" s="15">
        <v>5</v>
      </c>
      <c r="AJ45" s="15">
        <v>5</v>
      </c>
      <c r="AK45" s="15">
        <v>5</v>
      </c>
      <c r="AL45" s="15">
        <v>5</v>
      </c>
      <c r="AM45" s="15">
        <v>5</v>
      </c>
      <c r="AN45" s="15">
        <v>5</v>
      </c>
      <c r="AO45" s="15">
        <v>5</v>
      </c>
      <c r="AP45" s="15">
        <v>5</v>
      </c>
      <c r="AQ45" s="15">
        <v>5</v>
      </c>
      <c r="AR45" s="15">
        <v>5</v>
      </c>
      <c r="AS45" s="15">
        <v>5</v>
      </c>
      <c r="AT45" s="15">
        <v>5</v>
      </c>
      <c r="AU45" s="15">
        <v>5</v>
      </c>
      <c r="AV45" s="15"/>
      <c r="AW45" s="15"/>
      <c r="AX45" s="15"/>
      <c r="AY45" s="16"/>
      <c r="AZ45" s="15"/>
      <c r="BA45" s="15"/>
      <c r="BB45" s="15"/>
      <c r="BC45" s="16"/>
      <c r="BD45" s="15"/>
      <c r="BE45" s="15"/>
      <c r="BF45" s="15"/>
      <c r="BG45" s="16"/>
      <c r="BH45" s="15"/>
      <c r="BI45" s="15"/>
      <c r="BJ45" s="15"/>
      <c r="BK45" s="16"/>
      <c r="BL45" s="15"/>
      <c r="BM45" s="15"/>
      <c r="BN45" s="15"/>
      <c r="BO45" s="16"/>
      <c r="BP45" s="15"/>
      <c r="BQ45" s="15"/>
      <c r="BR45" s="15"/>
      <c r="BS45" s="16"/>
      <c r="BT45" s="15"/>
      <c r="BU45" s="15"/>
      <c r="BV45" s="15"/>
      <c r="BW45" s="16"/>
      <c r="BX45" s="15"/>
      <c r="BY45" s="15"/>
      <c r="BZ45" s="15"/>
      <c r="CA45" s="17"/>
      <c r="CB45" s="19">
        <v>5</v>
      </c>
      <c r="CC45" s="19"/>
      <c r="CD45" s="19">
        <v>10</v>
      </c>
      <c r="CE45" s="19"/>
      <c r="CF45" s="20">
        <v>5</v>
      </c>
      <c r="CG45" s="21">
        <f t="shared" ref="CG45:CJ45" si="42">AVERAGE(BX45,BT45,BP45,BL45,BH45,BD45,AZ45,AV45,AR45,AN45,AJ45,AF45,AB45,X45,T45,P45,L45,H45,D45)</f>
        <v>5</v>
      </c>
      <c r="CH45" s="22">
        <f t="shared" si="42"/>
        <v>5</v>
      </c>
      <c r="CI45" s="22">
        <f t="shared" si="42"/>
        <v>5</v>
      </c>
      <c r="CJ45" s="22">
        <f t="shared" si="42"/>
        <v>5</v>
      </c>
      <c r="CK45" s="22">
        <f>(' Follow Up 1st'!$CB45+' Follow Up 1st'!$CC45)/2</f>
        <v>2.5</v>
      </c>
      <c r="CL45" s="22">
        <f>(' Follow Up 1st'!$CD45+' Follow Up 1st'!$CE45)/2</f>
        <v>5</v>
      </c>
      <c r="CM45" s="24">
        <v>5</v>
      </c>
    </row>
    <row r="46" spans="1:91" ht="18.75" customHeight="1" x14ac:dyDescent="0.55000000000000004">
      <c r="A46" s="10">
        <v>44</v>
      </c>
      <c r="B46" s="25" t="s">
        <v>83</v>
      </c>
      <c r="C46" s="27" t="s">
        <v>82</v>
      </c>
      <c r="D46" s="12">
        <v>5</v>
      </c>
      <c r="E46" s="12">
        <v>5</v>
      </c>
      <c r="F46" s="12">
        <v>5</v>
      </c>
      <c r="G46" s="13">
        <v>5</v>
      </c>
      <c r="H46" s="13">
        <v>5</v>
      </c>
      <c r="I46" s="13">
        <v>5</v>
      </c>
      <c r="J46" s="13">
        <v>5</v>
      </c>
      <c r="K46" s="13">
        <v>5</v>
      </c>
      <c r="L46" s="13">
        <v>5</v>
      </c>
      <c r="M46" s="13">
        <v>5</v>
      </c>
      <c r="N46" s="13">
        <v>5</v>
      </c>
      <c r="O46" s="13">
        <v>5</v>
      </c>
      <c r="P46" s="12">
        <v>5</v>
      </c>
      <c r="Q46" s="12">
        <v>5</v>
      </c>
      <c r="R46" s="12">
        <v>5</v>
      </c>
      <c r="S46" s="13">
        <v>5</v>
      </c>
      <c r="T46" s="14">
        <v>5</v>
      </c>
      <c r="U46" s="14">
        <v>5</v>
      </c>
      <c r="V46" s="14">
        <v>5</v>
      </c>
      <c r="W46" s="14">
        <v>5</v>
      </c>
      <c r="X46" s="15">
        <v>5</v>
      </c>
      <c r="Y46" s="15">
        <v>5</v>
      </c>
      <c r="Z46" s="15">
        <v>5</v>
      </c>
      <c r="AA46" s="15">
        <v>5</v>
      </c>
      <c r="AB46" s="15">
        <v>5</v>
      </c>
      <c r="AC46" s="15">
        <v>5</v>
      </c>
      <c r="AD46" s="15">
        <v>5</v>
      </c>
      <c r="AE46" s="15">
        <v>5</v>
      </c>
      <c r="AF46" s="15">
        <v>5</v>
      </c>
      <c r="AG46" s="15">
        <v>5</v>
      </c>
      <c r="AH46" s="15">
        <v>5</v>
      </c>
      <c r="AI46" s="15">
        <v>5</v>
      </c>
      <c r="AJ46" s="15">
        <v>5</v>
      </c>
      <c r="AK46" s="15">
        <v>5</v>
      </c>
      <c r="AL46" s="15">
        <v>5</v>
      </c>
      <c r="AM46" s="15">
        <v>5</v>
      </c>
      <c r="AN46" s="15">
        <v>5</v>
      </c>
      <c r="AO46" s="15">
        <v>5</v>
      </c>
      <c r="AP46" s="15">
        <v>5</v>
      </c>
      <c r="AQ46" s="15">
        <v>5</v>
      </c>
      <c r="AR46" s="15">
        <v>5</v>
      </c>
      <c r="AS46" s="15">
        <v>5</v>
      </c>
      <c r="AT46" s="15">
        <v>5</v>
      </c>
      <c r="AU46" s="15">
        <v>5</v>
      </c>
      <c r="AV46" s="15"/>
      <c r="AW46" s="15"/>
      <c r="AX46" s="15"/>
      <c r="AY46" s="16"/>
      <c r="AZ46" s="15"/>
      <c r="BA46" s="15"/>
      <c r="BB46" s="15"/>
      <c r="BC46" s="16"/>
      <c r="BD46" s="15"/>
      <c r="BE46" s="15"/>
      <c r="BF46" s="15"/>
      <c r="BG46" s="16"/>
      <c r="BH46" s="15"/>
      <c r="BI46" s="15"/>
      <c r="BJ46" s="15"/>
      <c r="BK46" s="16"/>
      <c r="BL46" s="15"/>
      <c r="BM46" s="15"/>
      <c r="BN46" s="15"/>
      <c r="BO46" s="16"/>
      <c r="BP46" s="15"/>
      <c r="BQ46" s="15"/>
      <c r="BR46" s="15"/>
      <c r="BS46" s="16"/>
      <c r="BT46" s="15"/>
      <c r="BU46" s="15"/>
      <c r="BV46" s="15"/>
      <c r="BW46" s="16"/>
      <c r="BX46" s="15"/>
      <c r="BY46" s="15"/>
      <c r="BZ46" s="15"/>
      <c r="CA46" s="17"/>
      <c r="CB46" s="19">
        <v>5</v>
      </c>
      <c r="CC46" s="19"/>
      <c r="CD46" s="18">
        <v>45905</v>
      </c>
      <c r="CE46" s="19"/>
      <c r="CF46" s="20">
        <v>5</v>
      </c>
      <c r="CG46" s="21">
        <f t="shared" ref="CG46:CJ46" si="43">AVERAGE(BX46,BT46,BP46,BL46,BH46,BD46,AZ46,AV46,AR46,AN46,AJ46,AF46,AB46,X46,T46,P46,L46,H46,D46)</f>
        <v>5</v>
      </c>
      <c r="CH46" s="22">
        <f t="shared" si="43"/>
        <v>5</v>
      </c>
      <c r="CI46" s="22">
        <f t="shared" si="43"/>
        <v>5</v>
      </c>
      <c r="CJ46" s="22">
        <f t="shared" si="43"/>
        <v>5</v>
      </c>
      <c r="CK46" s="22">
        <f>(' Follow Up 1st'!$CB46+' Follow Up 1st'!$CC46)/2</f>
        <v>2.5</v>
      </c>
      <c r="CL46" s="23">
        <f>(' Follow Up 1st'!$CD46+' Follow Up 1st'!$CE46)/2</f>
        <v>22952.5</v>
      </c>
      <c r="CM46" s="24">
        <v>5</v>
      </c>
    </row>
    <row r="47" spans="1:91" ht="18.75" customHeight="1" x14ac:dyDescent="0.55000000000000004">
      <c r="A47" s="10">
        <v>45</v>
      </c>
      <c r="B47" s="25" t="s">
        <v>84</v>
      </c>
      <c r="C47" s="27" t="s">
        <v>82</v>
      </c>
      <c r="D47" s="12">
        <v>5</v>
      </c>
      <c r="E47" s="12">
        <v>5</v>
      </c>
      <c r="F47" s="12">
        <v>5</v>
      </c>
      <c r="G47" s="13">
        <v>5</v>
      </c>
      <c r="H47" s="13">
        <v>5</v>
      </c>
      <c r="I47" s="13">
        <v>5</v>
      </c>
      <c r="J47" s="13">
        <v>5</v>
      </c>
      <c r="K47" s="13">
        <v>5</v>
      </c>
      <c r="L47" s="13">
        <v>5</v>
      </c>
      <c r="M47" s="13">
        <v>5</v>
      </c>
      <c r="N47" s="13">
        <v>5</v>
      </c>
      <c r="O47" s="13">
        <v>5</v>
      </c>
      <c r="P47" s="12">
        <v>5</v>
      </c>
      <c r="Q47" s="12">
        <v>5</v>
      </c>
      <c r="R47" s="12">
        <v>5</v>
      </c>
      <c r="S47" s="13">
        <v>5</v>
      </c>
      <c r="T47" s="14">
        <v>5</v>
      </c>
      <c r="U47" s="14">
        <v>5</v>
      </c>
      <c r="V47" s="14">
        <v>5</v>
      </c>
      <c r="W47" s="14">
        <v>5</v>
      </c>
      <c r="X47" s="15">
        <v>5</v>
      </c>
      <c r="Y47" s="15">
        <v>5</v>
      </c>
      <c r="Z47" s="15">
        <v>5</v>
      </c>
      <c r="AA47" s="15">
        <v>5</v>
      </c>
      <c r="AB47" s="15">
        <v>5</v>
      </c>
      <c r="AC47" s="15">
        <v>5</v>
      </c>
      <c r="AD47" s="15">
        <v>5</v>
      </c>
      <c r="AE47" s="15">
        <v>5</v>
      </c>
      <c r="AF47" s="15">
        <v>5</v>
      </c>
      <c r="AG47" s="15">
        <v>5</v>
      </c>
      <c r="AH47" s="15">
        <v>5</v>
      </c>
      <c r="AI47" s="15">
        <v>5</v>
      </c>
      <c r="AJ47" s="15">
        <v>5</v>
      </c>
      <c r="AK47" s="15">
        <v>5</v>
      </c>
      <c r="AL47" s="15">
        <v>5</v>
      </c>
      <c r="AM47" s="15">
        <v>5</v>
      </c>
      <c r="AN47" s="15">
        <v>5</v>
      </c>
      <c r="AO47" s="15">
        <v>5</v>
      </c>
      <c r="AP47" s="15">
        <v>5</v>
      </c>
      <c r="AQ47" s="15">
        <v>5</v>
      </c>
      <c r="AR47" s="15">
        <v>5</v>
      </c>
      <c r="AS47" s="15">
        <v>5</v>
      </c>
      <c r="AT47" s="15">
        <v>5</v>
      </c>
      <c r="AU47" s="15">
        <v>5</v>
      </c>
      <c r="AV47" s="15"/>
      <c r="AW47" s="15"/>
      <c r="AX47" s="15"/>
      <c r="AY47" s="16"/>
      <c r="AZ47" s="15"/>
      <c r="BA47" s="15"/>
      <c r="BB47" s="15"/>
      <c r="BC47" s="16"/>
      <c r="BD47" s="15"/>
      <c r="BE47" s="15"/>
      <c r="BF47" s="15"/>
      <c r="BG47" s="16"/>
      <c r="BH47" s="15"/>
      <c r="BI47" s="15"/>
      <c r="BJ47" s="15"/>
      <c r="BK47" s="16"/>
      <c r="BL47" s="15"/>
      <c r="BM47" s="15"/>
      <c r="BN47" s="15"/>
      <c r="BO47" s="16"/>
      <c r="BP47" s="15"/>
      <c r="BQ47" s="15"/>
      <c r="BR47" s="15"/>
      <c r="BS47" s="16"/>
      <c r="BT47" s="15"/>
      <c r="BU47" s="15"/>
      <c r="BV47" s="15"/>
      <c r="BW47" s="16"/>
      <c r="BX47" s="15"/>
      <c r="BY47" s="15"/>
      <c r="BZ47" s="15"/>
      <c r="CA47" s="17"/>
      <c r="CB47" s="19">
        <v>5</v>
      </c>
      <c r="CC47" s="19"/>
      <c r="CD47" s="19">
        <v>10</v>
      </c>
      <c r="CE47" s="19"/>
      <c r="CF47" s="20">
        <v>5</v>
      </c>
      <c r="CG47" s="21">
        <f t="shared" ref="CG47:CJ47" si="44">AVERAGE(BX47,BT47,BP47,BL47,BH47,BD47,AZ47,AV47,AR47,AN47,AJ47,AF47,AB47,X47,T47,P47,L47,H47,D47)</f>
        <v>5</v>
      </c>
      <c r="CH47" s="22">
        <f t="shared" si="44"/>
        <v>5</v>
      </c>
      <c r="CI47" s="22">
        <f t="shared" si="44"/>
        <v>5</v>
      </c>
      <c r="CJ47" s="22">
        <f t="shared" si="44"/>
        <v>5</v>
      </c>
      <c r="CK47" s="22">
        <f>(' Follow Up 1st'!$CB47+' Follow Up 1st'!$CC47)/2</f>
        <v>2.5</v>
      </c>
      <c r="CL47" s="22">
        <f>(' Follow Up 1st'!$CD47+' Follow Up 1st'!$CE47)/2</f>
        <v>5</v>
      </c>
      <c r="CM47" s="24">
        <v>5</v>
      </c>
    </row>
    <row r="48" spans="1:91" ht="18.75" customHeight="1" x14ac:dyDescent="0.55000000000000004">
      <c r="A48" s="10">
        <v>46</v>
      </c>
      <c r="B48" s="25" t="s">
        <v>85</v>
      </c>
      <c r="C48" s="27" t="s">
        <v>82</v>
      </c>
      <c r="D48" s="12">
        <v>5</v>
      </c>
      <c r="E48" s="12">
        <v>5</v>
      </c>
      <c r="F48" s="12">
        <v>5</v>
      </c>
      <c r="G48" s="13">
        <v>5</v>
      </c>
      <c r="H48" s="13">
        <v>5</v>
      </c>
      <c r="I48" s="13">
        <v>5</v>
      </c>
      <c r="J48" s="13">
        <v>5</v>
      </c>
      <c r="K48" s="13">
        <v>5</v>
      </c>
      <c r="L48" s="13">
        <v>5</v>
      </c>
      <c r="M48" s="13">
        <v>5</v>
      </c>
      <c r="N48" s="13">
        <v>5</v>
      </c>
      <c r="O48" s="13">
        <v>0</v>
      </c>
      <c r="P48" s="12">
        <v>5</v>
      </c>
      <c r="Q48" s="12">
        <v>5</v>
      </c>
      <c r="R48" s="12">
        <v>5</v>
      </c>
      <c r="S48" s="13">
        <v>5</v>
      </c>
      <c r="T48" s="14">
        <v>5</v>
      </c>
      <c r="U48" s="14">
        <v>5</v>
      </c>
      <c r="V48" s="14">
        <v>5</v>
      </c>
      <c r="W48" s="14">
        <v>5</v>
      </c>
      <c r="X48" s="15">
        <v>5</v>
      </c>
      <c r="Y48" s="15">
        <v>5</v>
      </c>
      <c r="Z48" s="15">
        <v>5</v>
      </c>
      <c r="AA48" s="15">
        <v>5</v>
      </c>
      <c r="AB48" s="15">
        <v>5</v>
      </c>
      <c r="AC48" s="15">
        <v>5</v>
      </c>
      <c r="AD48" s="15">
        <v>5</v>
      </c>
      <c r="AE48" s="15">
        <v>5</v>
      </c>
      <c r="AF48" s="15">
        <v>5</v>
      </c>
      <c r="AG48" s="15">
        <v>5</v>
      </c>
      <c r="AH48" s="15">
        <v>5</v>
      </c>
      <c r="AI48" s="15">
        <v>5</v>
      </c>
      <c r="AJ48" s="15">
        <v>5</v>
      </c>
      <c r="AK48" s="15">
        <v>5</v>
      </c>
      <c r="AL48" s="15">
        <v>5</v>
      </c>
      <c r="AM48" s="15">
        <v>5</v>
      </c>
      <c r="AN48" s="15">
        <v>5</v>
      </c>
      <c r="AO48" s="15">
        <v>5</v>
      </c>
      <c r="AP48" s="15">
        <v>5</v>
      </c>
      <c r="AQ48" s="15">
        <v>5</v>
      </c>
      <c r="AR48" s="15">
        <v>5</v>
      </c>
      <c r="AS48" s="15">
        <v>5</v>
      </c>
      <c r="AT48" s="15">
        <v>5</v>
      </c>
      <c r="AU48" s="15">
        <v>5</v>
      </c>
      <c r="AV48" s="15"/>
      <c r="AW48" s="15"/>
      <c r="AX48" s="15"/>
      <c r="AY48" s="16"/>
      <c r="AZ48" s="15"/>
      <c r="BA48" s="15"/>
      <c r="BB48" s="15"/>
      <c r="BC48" s="16"/>
      <c r="BD48" s="15"/>
      <c r="BE48" s="15"/>
      <c r="BF48" s="15"/>
      <c r="BG48" s="16"/>
      <c r="BH48" s="15"/>
      <c r="BI48" s="15"/>
      <c r="BJ48" s="15"/>
      <c r="BK48" s="16"/>
      <c r="BL48" s="15"/>
      <c r="BM48" s="15"/>
      <c r="BN48" s="15"/>
      <c r="BO48" s="16"/>
      <c r="BP48" s="15"/>
      <c r="BQ48" s="15"/>
      <c r="BR48" s="15"/>
      <c r="BS48" s="16"/>
      <c r="BT48" s="15"/>
      <c r="BU48" s="15"/>
      <c r="BV48" s="15"/>
      <c r="BW48" s="16"/>
      <c r="BX48" s="15"/>
      <c r="BY48" s="15"/>
      <c r="BZ48" s="15"/>
      <c r="CA48" s="17"/>
      <c r="CB48" s="19">
        <v>5</v>
      </c>
      <c r="CC48" s="19"/>
      <c r="CD48" s="19">
        <v>9</v>
      </c>
      <c r="CE48" s="19"/>
      <c r="CF48" s="20">
        <v>5</v>
      </c>
      <c r="CG48" s="21">
        <f t="shared" ref="CG48:CJ48" si="45">AVERAGE(BX48,BT48,BP48,BL48,BH48,BD48,AZ48,AV48,AR48,AN48,AJ48,AF48,AB48,X48,T48,P48,L48,H48,D48)</f>
        <v>5</v>
      </c>
      <c r="CH48" s="22">
        <f t="shared" si="45"/>
        <v>5</v>
      </c>
      <c r="CI48" s="22">
        <f t="shared" si="45"/>
        <v>5</v>
      </c>
      <c r="CJ48" s="22">
        <f t="shared" si="45"/>
        <v>4.5454545454545459</v>
      </c>
      <c r="CK48" s="22">
        <f>(' Follow Up 1st'!$CB48+' Follow Up 1st'!$CC48)/2</f>
        <v>2.5</v>
      </c>
      <c r="CL48" s="22">
        <f>(' Follow Up 1st'!$CD48+' Follow Up 1st'!$CE48)/2</f>
        <v>4.5</v>
      </c>
      <c r="CM48" s="24">
        <v>5</v>
      </c>
    </row>
    <row r="49" spans="1:91" ht="18.75" customHeight="1" x14ac:dyDescent="0.55000000000000004">
      <c r="A49" s="10">
        <v>47</v>
      </c>
      <c r="B49" s="25" t="s">
        <v>86</v>
      </c>
      <c r="C49" s="27" t="s">
        <v>82</v>
      </c>
      <c r="D49" s="12">
        <v>5</v>
      </c>
      <c r="E49" s="12">
        <v>5</v>
      </c>
      <c r="F49" s="12">
        <v>5</v>
      </c>
      <c r="G49" s="13">
        <v>5</v>
      </c>
      <c r="H49" s="13">
        <v>5</v>
      </c>
      <c r="I49" s="13">
        <v>5</v>
      </c>
      <c r="J49" s="13">
        <v>5</v>
      </c>
      <c r="K49" s="13">
        <v>5</v>
      </c>
      <c r="L49" s="13">
        <v>5</v>
      </c>
      <c r="M49" s="13">
        <v>5</v>
      </c>
      <c r="N49" s="13">
        <v>5</v>
      </c>
      <c r="O49" s="13">
        <v>0</v>
      </c>
      <c r="P49" s="12">
        <v>5</v>
      </c>
      <c r="Q49" s="12">
        <v>5</v>
      </c>
      <c r="R49" s="12">
        <v>5</v>
      </c>
      <c r="S49" s="13">
        <v>5</v>
      </c>
      <c r="T49" s="14">
        <v>5</v>
      </c>
      <c r="U49" s="14">
        <v>5</v>
      </c>
      <c r="V49" s="14">
        <v>5</v>
      </c>
      <c r="W49" s="14">
        <v>5</v>
      </c>
      <c r="X49" s="15">
        <v>5</v>
      </c>
      <c r="Y49" s="15">
        <v>5</v>
      </c>
      <c r="Z49" s="15">
        <v>5</v>
      </c>
      <c r="AA49" s="15">
        <v>5</v>
      </c>
      <c r="AB49" s="15">
        <v>5</v>
      </c>
      <c r="AC49" s="15">
        <v>5</v>
      </c>
      <c r="AD49" s="15">
        <v>5</v>
      </c>
      <c r="AE49" s="15">
        <v>5</v>
      </c>
      <c r="AF49" s="15">
        <v>5</v>
      </c>
      <c r="AG49" s="15">
        <v>5</v>
      </c>
      <c r="AH49" s="15">
        <v>5</v>
      </c>
      <c r="AI49" s="15">
        <v>5</v>
      </c>
      <c r="AJ49" s="15">
        <v>5</v>
      </c>
      <c r="AK49" s="15">
        <v>5</v>
      </c>
      <c r="AL49" s="15">
        <v>5</v>
      </c>
      <c r="AM49" s="15">
        <v>5</v>
      </c>
      <c r="AN49" s="15">
        <v>5</v>
      </c>
      <c r="AO49" s="15">
        <v>5</v>
      </c>
      <c r="AP49" s="15">
        <v>5</v>
      </c>
      <c r="AQ49" s="15">
        <v>5</v>
      </c>
      <c r="AR49" s="15">
        <v>5</v>
      </c>
      <c r="AS49" s="15">
        <v>5</v>
      </c>
      <c r="AT49" s="15">
        <v>5</v>
      </c>
      <c r="AU49" s="15">
        <v>5</v>
      </c>
      <c r="AV49" s="15"/>
      <c r="AW49" s="15"/>
      <c r="AX49" s="15"/>
      <c r="AY49" s="16"/>
      <c r="AZ49" s="15"/>
      <c r="BA49" s="15"/>
      <c r="BB49" s="15"/>
      <c r="BC49" s="16"/>
      <c r="BD49" s="15"/>
      <c r="BE49" s="15"/>
      <c r="BF49" s="15"/>
      <c r="BG49" s="16"/>
      <c r="BH49" s="15"/>
      <c r="BI49" s="15"/>
      <c r="BJ49" s="15"/>
      <c r="BK49" s="16"/>
      <c r="BL49" s="15"/>
      <c r="BM49" s="15"/>
      <c r="BN49" s="15"/>
      <c r="BO49" s="16"/>
      <c r="BP49" s="15"/>
      <c r="BQ49" s="15"/>
      <c r="BR49" s="15"/>
      <c r="BS49" s="16"/>
      <c r="BT49" s="15"/>
      <c r="BU49" s="15"/>
      <c r="BV49" s="15"/>
      <c r="BW49" s="16"/>
      <c r="BX49" s="15"/>
      <c r="BY49" s="15"/>
      <c r="BZ49" s="15"/>
      <c r="CA49" s="17"/>
      <c r="CB49" s="19">
        <v>5</v>
      </c>
      <c r="CC49" s="19"/>
      <c r="CD49" s="19">
        <v>10</v>
      </c>
      <c r="CE49" s="19"/>
      <c r="CF49" s="20">
        <v>5</v>
      </c>
      <c r="CG49" s="21">
        <f t="shared" ref="CG49:CJ49" si="46">AVERAGE(BX49,BT49,BP49,BL49,BH49,BD49,AZ49,AV49,AR49,AN49,AJ49,AF49,AB49,X49,T49,P49,L49,H49,D49)</f>
        <v>5</v>
      </c>
      <c r="CH49" s="22">
        <f t="shared" si="46"/>
        <v>5</v>
      </c>
      <c r="CI49" s="22">
        <f t="shared" si="46"/>
        <v>5</v>
      </c>
      <c r="CJ49" s="22">
        <f t="shared" si="46"/>
        <v>4.5454545454545459</v>
      </c>
      <c r="CK49" s="22">
        <f>(' Follow Up 1st'!$CB49+' Follow Up 1st'!$CC49)/2</f>
        <v>2.5</v>
      </c>
      <c r="CL49" s="22">
        <f>(' Follow Up 1st'!$CD49+' Follow Up 1st'!$CE49)/2</f>
        <v>5</v>
      </c>
      <c r="CM49" s="24">
        <v>5</v>
      </c>
    </row>
    <row r="50" spans="1:91" ht="18.75" customHeight="1" x14ac:dyDescent="0.55000000000000004">
      <c r="A50" s="10">
        <v>48</v>
      </c>
      <c r="B50" s="25" t="s">
        <v>87</v>
      </c>
      <c r="C50" s="27" t="s">
        <v>82</v>
      </c>
      <c r="D50" s="12">
        <v>5</v>
      </c>
      <c r="E50" s="12">
        <v>5</v>
      </c>
      <c r="F50" s="12">
        <v>5</v>
      </c>
      <c r="G50" s="13">
        <v>5</v>
      </c>
      <c r="H50" s="13">
        <v>5</v>
      </c>
      <c r="I50" s="13">
        <v>5</v>
      </c>
      <c r="J50" s="13">
        <v>5</v>
      </c>
      <c r="K50" s="13">
        <v>5</v>
      </c>
      <c r="L50" s="13">
        <v>5</v>
      </c>
      <c r="M50" s="13">
        <v>5</v>
      </c>
      <c r="N50" s="13">
        <v>5</v>
      </c>
      <c r="O50" s="13">
        <v>0</v>
      </c>
      <c r="P50" s="12">
        <v>5</v>
      </c>
      <c r="Q50" s="12">
        <v>5</v>
      </c>
      <c r="R50" s="12">
        <v>5</v>
      </c>
      <c r="S50" s="13">
        <v>5</v>
      </c>
      <c r="T50" s="14">
        <v>5</v>
      </c>
      <c r="U50" s="14">
        <v>5</v>
      </c>
      <c r="V50" s="14">
        <v>5</v>
      </c>
      <c r="W50" s="14">
        <v>5</v>
      </c>
      <c r="X50" s="15">
        <v>5</v>
      </c>
      <c r="Y50" s="15">
        <v>5</v>
      </c>
      <c r="Z50" s="15">
        <v>5</v>
      </c>
      <c r="AA50" s="15">
        <v>5</v>
      </c>
      <c r="AB50" s="15">
        <v>5</v>
      </c>
      <c r="AC50" s="15">
        <v>5</v>
      </c>
      <c r="AD50" s="15">
        <v>5</v>
      </c>
      <c r="AE50" s="15">
        <v>5</v>
      </c>
      <c r="AF50" s="15">
        <v>5</v>
      </c>
      <c r="AG50" s="15">
        <v>5</v>
      </c>
      <c r="AH50" s="15">
        <v>5</v>
      </c>
      <c r="AI50" s="15">
        <v>5</v>
      </c>
      <c r="AJ50" s="15">
        <v>5</v>
      </c>
      <c r="AK50" s="15">
        <v>5</v>
      </c>
      <c r="AL50" s="15">
        <v>5</v>
      </c>
      <c r="AM50" s="15">
        <v>5</v>
      </c>
      <c r="AN50" s="15">
        <v>5</v>
      </c>
      <c r="AO50" s="15">
        <v>5</v>
      </c>
      <c r="AP50" s="15">
        <v>5</v>
      </c>
      <c r="AQ50" s="15">
        <v>5</v>
      </c>
      <c r="AR50" s="15">
        <v>5</v>
      </c>
      <c r="AS50" s="15">
        <v>5</v>
      </c>
      <c r="AT50" s="15">
        <v>5</v>
      </c>
      <c r="AU50" s="15">
        <v>5</v>
      </c>
      <c r="AV50" s="15"/>
      <c r="AW50" s="15"/>
      <c r="AX50" s="15"/>
      <c r="AY50" s="16"/>
      <c r="AZ50" s="15"/>
      <c r="BA50" s="15"/>
      <c r="BB50" s="15"/>
      <c r="BC50" s="16"/>
      <c r="BD50" s="15"/>
      <c r="BE50" s="15"/>
      <c r="BF50" s="15"/>
      <c r="BG50" s="16"/>
      <c r="BH50" s="15"/>
      <c r="BI50" s="15"/>
      <c r="BJ50" s="15"/>
      <c r="BK50" s="16"/>
      <c r="BL50" s="15"/>
      <c r="BM50" s="15"/>
      <c r="BN50" s="15"/>
      <c r="BO50" s="16"/>
      <c r="BP50" s="15"/>
      <c r="BQ50" s="15"/>
      <c r="BR50" s="15"/>
      <c r="BS50" s="16"/>
      <c r="BT50" s="15"/>
      <c r="BU50" s="15"/>
      <c r="BV50" s="15"/>
      <c r="BW50" s="16"/>
      <c r="BX50" s="15"/>
      <c r="BY50" s="15"/>
      <c r="BZ50" s="15"/>
      <c r="CA50" s="17"/>
      <c r="CB50" s="19">
        <v>5</v>
      </c>
      <c r="CC50" s="19"/>
      <c r="CD50" s="19">
        <v>10</v>
      </c>
      <c r="CE50" s="19"/>
      <c r="CF50" s="20">
        <v>5</v>
      </c>
      <c r="CG50" s="21">
        <f t="shared" ref="CG50:CJ50" si="47">AVERAGE(BX50,BT50,BP50,BL50,BH50,BD50,AZ50,AV50,AR50,AN50,AJ50,AF50,AB50,X50,T50,P50,L50,H50,D50)</f>
        <v>5</v>
      </c>
      <c r="CH50" s="22">
        <f t="shared" si="47"/>
        <v>5</v>
      </c>
      <c r="CI50" s="22">
        <f t="shared" si="47"/>
        <v>5</v>
      </c>
      <c r="CJ50" s="22">
        <f t="shared" si="47"/>
        <v>4.5454545454545459</v>
      </c>
      <c r="CK50" s="22">
        <f>(' Follow Up 1st'!$CB50+' Follow Up 1st'!$CC50)/2</f>
        <v>2.5</v>
      </c>
      <c r="CL50" s="22">
        <f>(' Follow Up 1st'!$CD50+' Follow Up 1st'!$CE50)/2</f>
        <v>5</v>
      </c>
      <c r="CM50" s="24">
        <v>5</v>
      </c>
    </row>
    <row r="51" spans="1:91" ht="18.75" customHeight="1" x14ac:dyDescent="0.55000000000000004">
      <c r="A51" s="10">
        <v>49</v>
      </c>
      <c r="B51" s="25" t="s">
        <v>88</v>
      </c>
      <c r="C51" s="27" t="s">
        <v>82</v>
      </c>
      <c r="D51" s="12">
        <v>5</v>
      </c>
      <c r="E51" s="12">
        <v>5</v>
      </c>
      <c r="F51" s="12">
        <v>5</v>
      </c>
      <c r="G51" s="13">
        <v>5</v>
      </c>
      <c r="H51" s="13">
        <v>5</v>
      </c>
      <c r="I51" s="13">
        <v>5</v>
      </c>
      <c r="J51" s="13">
        <v>5</v>
      </c>
      <c r="K51" s="13">
        <v>5</v>
      </c>
      <c r="L51" s="13">
        <v>5</v>
      </c>
      <c r="M51" s="13">
        <v>5</v>
      </c>
      <c r="N51" s="13">
        <v>5</v>
      </c>
      <c r="O51" s="13">
        <v>0</v>
      </c>
      <c r="P51" s="12">
        <v>5</v>
      </c>
      <c r="Q51" s="12">
        <v>5</v>
      </c>
      <c r="R51" s="12">
        <v>5</v>
      </c>
      <c r="S51" s="13">
        <v>5</v>
      </c>
      <c r="T51" s="14">
        <v>5</v>
      </c>
      <c r="U51" s="14">
        <v>5</v>
      </c>
      <c r="V51" s="14">
        <v>5</v>
      </c>
      <c r="W51" s="14">
        <v>5</v>
      </c>
      <c r="X51" s="15">
        <v>5</v>
      </c>
      <c r="Y51" s="15">
        <v>5</v>
      </c>
      <c r="Z51" s="15">
        <v>5</v>
      </c>
      <c r="AA51" s="15">
        <v>5</v>
      </c>
      <c r="AB51" s="15">
        <v>5</v>
      </c>
      <c r="AC51" s="15">
        <v>5</v>
      </c>
      <c r="AD51" s="15">
        <v>5</v>
      </c>
      <c r="AE51" s="15">
        <v>5</v>
      </c>
      <c r="AF51" s="15">
        <v>5</v>
      </c>
      <c r="AG51" s="15">
        <v>5</v>
      </c>
      <c r="AH51" s="15">
        <v>5</v>
      </c>
      <c r="AI51" s="15">
        <v>5</v>
      </c>
      <c r="AJ51" s="15">
        <v>5</v>
      </c>
      <c r="AK51" s="15">
        <v>5</v>
      </c>
      <c r="AL51" s="15">
        <v>5</v>
      </c>
      <c r="AM51" s="15">
        <v>5</v>
      </c>
      <c r="AN51" s="15">
        <v>5</v>
      </c>
      <c r="AO51" s="15">
        <v>5</v>
      </c>
      <c r="AP51" s="15">
        <v>5</v>
      </c>
      <c r="AQ51" s="15">
        <v>5</v>
      </c>
      <c r="AR51" s="15">
        <v>5</v>
      </c>
      <c r="AS51" s="15">
        <v>5</v>
      </c>
      <c r="AT51" s="15">
        <v>5</v>
      </c>
      <c r="AU51" s="15">
        <v>5</v>
      </c>
      <c r="AV51" s="15"/>
      <c r="AW51" s="15"/>
      <c r="AX51" s="15"/>
      <c r="AY51" s="16"/>
      <c r="AZ51" s="15"/>
      <c r="BA51" s="15"/>
      <c r="BB51" s="15"/>
      <c r="BC51" s="16"/>
      <c r="BD51" s="15"/>
      <c r="BE51" s="15"/>
      <c r="BF51" s="15"/>
      <c r="BG51" s="16"/>
      <c r="BH51" s="15"/>
      <c r="BI51" s="15"/>
      <c r="BJ51" s="15"/>
      <c r="BK51" s="16"/>
      <c r="BL51" s="15"/>
      <c r="BM51" s="15"/>
      <c r="BN51" s="15"/>
      <c r="BO51" s="16"/>
      <c r="BP51" s="15"/>
      <c r="BQ51" s="15"/>
      <c r="BR51" s="15"/>
      <c r="BS51" s="16"/>
      <c r="BT51" s="15"/>
      <c r="BU51" s="15"/>
      <c r="BV51" s="15"/>
      <c r="BW51" s="16"/>
      <c r="BX51" s="15"/>
      <c r="BY51" s="15"/>
      <c r="BZ51" s="15"/>
      <c r="CA51" s="17"/>
      <c r="CB51" s="19">
        <v>5</v>
      </c>
      <c r="CC51" s="19"/>
      <c r="CD51" s="18">
        <v>45905</v>
      </c>
      <c r="CE51" s="19"/>
      <c r="CF51" s="20">
        <v>5</v>
      </c>
      <c r="CG51" s="21">
        <f t="shared" ref="CG51:CJ51" si="48">AVERAGE(BX51,BT51,BP51,BL51,BH51,BD51,AZ51,AV51,AR51,AN51,AJ51,AF51,AB51,X51,T51,P51,L51,H51,D51)</f>
        <v>5</v>
      </c>
      <c r="CH51" s="22">
        <f t="shared" si="48"/>
        <v>5</v>
      </c>
      <c r="CI51" s="22">
        <f t="shared" si="48"/>
        <v>5</v>
      </c>
      <c r="CJ51" s="22">
        <f t="shared" si="48"/>
        <v>4.5454545454545459</v>
      </c>
      <c r="CK51" s="22">
        <f>(' Follow Up 1st'!$CB51+' Follow Up 1st'!$CC51)/2</f>
        <v>2.5</v>
      </c>
      <c r="CL51" s="23">
        <f>(' Follow Up 1st'!$CD51+' Follow Up 1st'!$CE51)/2</f>
        <v>22952.5</v>
      </c>
      <c r="CM51" s="24">
        <v>5</v>
      </c>
    </row>
    <row r="52" spans="1:91" ht="18.75" customHeight="1" x14ac:dyDescent="0.55000000000000004">
      <c r="A52" s="10">
        <v>50</v>
      </c>
      <c r="B52" s="25" t="s">
        <v>89</v>
      </c>
      <c r="C52" s="27" t="s">
        <v>82</v>
      </c>
      <c r="D52" s="12">
        <v>5</v>
      </c>
      <c r="E52" s="12">
        <v>5</v>
      </c>
      <c r="F52" s="12">
        <v>5</v>
      </c>
      <c r="G52" s="13">
        <v>5</v>
      </c>
      <c r="H52" s="13">
        <v>5</v>
      </c>
      <c r="I52" s="13">
        <v>5</v>
      </c>
      <c r="J52" s="13">
        <v>5</v>
      </c>
      <c r="K52" s="13">
        <v>5</v>
      </c>
      <c r="L52" s="13">
        <v>5</v>
      </c>
      <c r="M52" s="13">
        <v>5</v>
      </c>
      <c r="N52" s="13">
        <v>5</v>
      </c>
      <c r="O52" s="13">
        <v>5</v>
      </c>
      <c r="P52" s="12">
        <v>5</v>
      </c>
      <c r="Q52" s="12">
        <v>5</v>
      </c>
      <c r="R52" s="12">
        <v>5</v>
      </c>
      <c r="S52" s="13">
        <v>5</v>
      </c>
      <c r="T52" s="14">
        <v>5</v>
      </c>
      <c r="U52" s="14">
        <v>5</v>
      </c>
      <c r="V52" s="14">
        <v>5</v>
      </c>
      <c r="W52" s="14">
        <v>5</v>
      </c>
      <c r="X52" s="15">
        <v>5</v>
      </c>
      <c r="Y52" s="15">
        <v>5</v>
      </c>
      <c r="Z52" s="15">
        <v>5</v>
      </c>
      <c r="AA52" s="15">
        <v>5</v>
      </c>
      <c r="AB52" s="15">
        <v>5</v>
      </c>
      <c r="AC52" s="15">
        <v>5</v>
      </c>
      <c r="AD52" s="15">
        <v>5</v>
      </c>
      <c r="AE52" s="15">
        <v>5</v>
      </c>
      <c r="AF52" s="15">
        <v>5</v>
      </c>
      <c r="AG52" s="15">
        <v>5</v>
      </c>
      <c r="AH52" s="15">
        <v>5</v>
      </c>
      <c r="AI52" s="15">
        <v>5</v>
      </c>
      <c r="AJ52" s="15">
        <v>5</v>
      </c>
      <c r="AK52" s="15">
        <v>5</v>
      </c>
      <c r="AL52" s="15">
        <v>5</v>
      </c>
      <c r="AM52" s="15">
        <v>5</v>
      </c>
      <c r="AN52" s="15">
        <v>5</v>
      </c>
      <c r="AO52" s="15">
        <v>5</v>
      </c>
      <c r="AP52" s="15">
        <v>5</v>
      </c>
      <c r="AQ52" s="15">
        <v>5</v>
      </c>
      <c r="AR52" s="15">
        <v>5</v>
      </c>
      <c r="AS52" s="15">
        <v>5</v>
      </c>
      <c r="AT52" s="15">
        <v>5</v>
      </c>
      <c r="AU52" s="15">
        <v>5</v>
      </c>
      <c r="AV52" s="15"/>
      <c r="AW52" s="15"/>
      <c r="AX52" s="15"/>
      <c r="AY52" s="16"/>
      <c r="AZ52" s="15"/>
      <c r="BA52" s="15"/>
      <c r="BB52" s="15"/>
      <c r="BC52" s="16"/>
      <c r="BD52" s="15"/>
      <c r="BE52" s="15"/>
      <c r="BF52" s="15"/>
      <c r="BG52" s="16"/>
      <c r="BH52" s="15"/>
      <c r="BI52" s="15"/>
      <c r="BJ52" s="15"/>
      <c r="BK52" s="16"/>
      <c r="BL52" s="15"/>
      <c r="BM52" s="15"/>
      <c r="BN52" s="15"/>
      <c r="BO52" s="16"/>
      <c r="BP52" s="15"/>
      <c r="BQ52" s="15"/>
      <c r="BR52" s="15"/>
      <c r="BS52" s="16"/>
      <c r="BT52" s="15"/>
      <c r="BU52" s="15"/>
      <c r="BV52" s="15"/>
      <c r="BW52" s="16"/>
      <c r="BX52" s="15"/>
      <c r="BY52" s="15"/>
      <c r="BZ52" s="15"/>
      <c r="CA52" s="17"/>
      <c r="CB52" s="19">
        <v>5</v>
      </c>
      <c r="CC52" s="19"/>
      <c r="CD52" s="18">
        <v>45874</v>
      </c>
      <c r="CE52" s="19"/>
      <c r="CF52" s="20">
        <v>5</v>
      </c>
      <c r="CG52" s="21">
        <f t="shared" ref="CG52:CJ52" si="49">AVERAGE(BX52,BT52,BP52,BL52,BH52,BD52,AZ52,AV52,AR52,AN52,AJ52,AF52,AB52,X52,T52,P52,L52,H52,D52)</f>
        <v>5</v>
      </c>
      <c r="CH52" s="22">
        <f t="shared" si="49"/>
        <v>5</v>
      </c>
      <c r="CI52" s="22">
        <f t="shared" si="49"/>
        <v>5</v>
      </c>
      <c r="CJ52" s="22">
        <f t="shared" si="49"/>
        <v>5</v>
      </c>
      <c r="CK52" s="22">
        <f>(' Follow Up 1st'!$CB52+' Follow Up 1st'!$CC52)/2</f>
        <v>2.5</v>
      </c>
      <c r="CL52" s="23">
        <f>(' Follow Up 1st'!$CD52+' Follow Up 1st'!$CE52)/2</f>
        <v>22937</v>
      </c>
      <c r="CM52" s="24">
        <v>5</v>
      </c>
    </row>
    <row r="53" spans="1:91" ht="18.75" customHeight="1" x14ac:dyDescent="0.55000000000000004">
      <c r="A53" s="10">
        <v>51</v>
      </c>
      <c r="B53" s="25" t="s">
        <v>90</v>
      </c>
      <c r="C53" s="27" t="s">
        <v>82</v>
      </c>
      <c r="D53" s="12">
        <v>5</v>
      </c>
      <c r="E53" s="12">
        <v>5</v>
      </c>
      <c r="F53" s="12">
        <v>5</v>
      </c>
      <c r="G53" s="13">
        <v>5</v>
      </c>
      <c r="H53" s="13">
        <v>5</v>
      </c>
      <c r="I53" s="13">
        <v>5</v>
      </c>
      <c r="J53" s="13">
        <v>5</v>
      </c>
      <c r="K53" s="13">
        <v>5</v>
      </c>
      <c r="L53" s="13">
        <v>5</v>
      </c>
      <c r="M53" s="13">
        <v>5</v>
      </c>
      <c r="N53" s="13">
        <v>5</v>
      </c>
      <c r="O53" s="13">
        <v>5</v>
      </c>
      <c r="P53" s="12">
        <v>5</v>
      </c>
      <c r="Q53" s="12">
        <v>5</v>
      </c>
      <c r="R53" s="12">
        <v>5</v>
      </c>
      <c r="S53" s="13">
        <v>5</v>
      </c>
      <c r="T53" s="14">
        <v>5</v>
      </c>
      <c r="U53" s="14">
        <v>5</v>
      </c>
      <c r="V53" s="14">
        <v>5</v>
      </c>
      <c r="W53" s="14">
        <v>5</v>
      </c>
      <c r="X53" s="15">
        <v>5</v>
      </c>
      <c r="Y53" s="15">
        <v>5</v>
      </c>
      <c r="Z53" s="15">
        <v>5</v>
      </c>
      <c r="AA53" s="15">
        <v>5</v>
      </c>
      <c r="AB53" s="15">
        <v>5</v>
      </c>
      <c r="AC53" s="15">
        <v>5</v>
      </c>
      <c r="AD53" s="15">
        <v>5</v>
      </c>
      <c r="AE53" s="15">
        <v>5</v>
      </c>
      <c r="AF53" s="15">
        <v>5</v>
      </c>
      <c r="AG53" s="15">
        <v>5</v>
      </c>
      <c r="AH53" s="15">
        <v>5</v>
      </c>
      <c r="AI53" s="15">
        <v>5</v>
      </c>
      <c r="AJ53" s="15">
        <v>5</v>
      </c>
      <c r="AK53" s="15">
        <v>5</v>
      </c>
      <c r="AL53" s="15">
        <v>5</v>
      </c>
      <c r="AM53" s="15">
        <v>5</v>
      </c>
      <c r="AN53" s="15">
        <v>5</v>
      </c>
      <c r="AO53" s="15">
        <v>5</v>
      </c>
      <c r="AP53" s="15">
        <v>5</v>
      </c>
      <c r="AQ53" s="15">
        <v>5</v>
      </c>
      <c r="AR53" s="15">
        <v>5</v>
      </c>
      <c r="AS53" s="15">
        <v>5</v>
      </c>
      <c r="AT53" s="15">
        <v>5</v>
      </c>
      <c r="AU53" s="15">
        <v>5</v>
      </c>
      <c r="AV53" s="15"/>
      <c r="AW53" s="15"/>
      <c r="AX53" s="15"/>
      <c r="AY53" s="16"/>
      <c r="AZ53" s="15"/>
      <c r="BA53" s="15"/>
      <c r="BB53" s="15"/>
      <c r="BC53" s="16"/>
      <c r="BD53" s="15"/>
      <c r="BE53" s="15"/>
      <c r="BF53" s="15"/>
      <c r="BG53" s="16"/>
      <c r="BH53" s="15"/>
      <c r="BI53" s="15"/>
      <c r="BJ53" s="15"/>
      <c r="BK53" s="16"/>
      <c r="BL53" s="15"/>
      <c r="BM53" s="15"/>
      <c r="BN53" s="15"/>
      <c r="BO53" s="16"/>
      <c r="BP53" s="15"/>
      <c r="BQ53" s="15"/>
      <c r="BR53" s="15"/>
      <c r="BS53" s="16"/>
      <c r="BT53" s="15"/>
      <c r="BU53" s="15"/>
      <c r="BV53" s="15"/>
      <c r="BW53" s="16"/>
      <c r="BX53" s="15"/>
      <c r="BY53" s="15"/>
      <c r="BZ53" s="15"/>
      <c r="CA53" s="17"/>
      <c r="CB53" s="19">
        <v>5</v>
      </c>
      <c r="CC53" s="19"/>
      <c r="CD53" s="18">
        <v>45905</v>
      </c>
      <c r="CE53" s="19"/>
      <c r="CF53" s="20">
        <v>5</v>
      </c>
      <c r="CG53" s="21">
        <f t="shared" ref="CG53:CJ53" si="50">AVERAGE(BX53,BT53,BP53,BL53,BH53,BD53,AZ53,AV53,AR53,AN53,AJ53,AF53,AB53,X53,T53,P53,L53,H53,D53)</f>
        <v>5</v>
      </c>
      <c r="CH53" s="22">
        <f t="shared" si="50"/>
        <v>5</v>
      </c>
      <c r="CI53" s="22">
        <f t="shared" si="50"/>
        <v>5</v>
      </c>
      <c r="CJ53" s="22">
        <f t="shared" si="50"/>
        <v>5</v>
      </c>
      <c r="CK53" s="22">
        <f>(' Follow Up 1st'!$CB53+' Follow Up 1st'!$CC53)/2</f>
        <v>2.5</v>
      </c>
      <c r="CL53" s="23">
        <f>(' Follow Up 1st'!$CD53+' Follow Up 1st'!$CE53)/2</f>
        <v>22952.5</v>
      </c>
      <c r="CM53" s="24">
        <v>5</v>
      </c>
    </row>
    <row r="54" spans="1:91" ht="18.75" customHeight="1" x14ac:dyDescent="0.55000000000000004">
      <c r="A54" s="10">
        <v>52</v>
      </c>
      <c r="B54" s="25" t="s">
        <v>91</v>
      </c>
      <c r="C54" s="27" t="s">
        <v>82</v>
      </c>
      <c r="D54" s="12">
        <v>5</v>
      </c>
      <c r="E54" s="12">
        <v>5</v>
      </c>
      <c r="F54" s="12">
        <v>5</v>
      </c>
      <c r="G54" s="13">
        <v>5</v>
      </c>
      <c r="H54" s="13">
        <v>5</v>
      </c>
      <c r="I54" s="13">
        <v>5</v>
      </c>
      <c r="J54" s="13">
        <v>5</v>
      </c>
      <c r="K54" s="13">
        <v>5</v>
      </c>
      <c r="L54" s="13">
        <v>5</v>
      </c>
      <c r="M54" s="13">
        <v>5</v>
      </c>
      <c r="N54" s="13">
        <v>5</v>
      </c>
      <c r="O54" s="13">
        <v>5</v>
      </c>
      <c r="P54" s="12">
        <v>5</v>
      </c>
      <c r="Q54" s="12">
        <v>5</v>
      </c>
      <c r="R54" s="12">
        <v>5</v>
      </c>
      <c r="S54" s="13">
        <v>5</v>
      </c>
      <c r="T54" s="14">
        <v>5</v>
      </c>
      <c r="U54" s="14">
        <v>5</v>
      </c>
      <c r="V54" s="14">
        <v>5</v>
      </c>
      <c r="W54" s="14">
        <v>5</v>
      </c>
      <c r="X54" s="15">
        <v>5</v>
      </c>
      <c r="Y54" s="15">
        <v>5</v>
      </c>
      <c r="Z54" s="15">
        <v>5</v>
      </c>
      <c r="AA54" s="15">
        <v>5</v>
      </c>
      <c r="AB54" s="15">
        <v>5</v>
      </c>
      <c r="AC54" s="15">
        <v>5</v>
      </c>
      <c r="AD54" s="15">
        <v>5</v>
      </c>
      <c r="AE54" s="15">
        <v>5</v>
      </c>
      <c r="AF54" s="15">
        <v>5</v>
      </c>
      <c r="AG54" s="15">
        <v>5</v>
      </c>
      <c r="AH54" s="15">
        <v>5</v>
      </c>
      <c r="AI54" s="15">
        <v>5</v>
      </c>
      <c r="AJ54" s="15">
        <v>5</v>
      </c>
      <c r="AK54" s="15">
        <v>5</v>
      </c>
      <c r="AL54" s="15">
        <v>5</v>
      </c>
      <c r="AM54" s="15">
        <v>5</v>
      </c>
      <c r="AN54" s="15">
        <v>5</v>
      </c>
      <c r="AO54" s="15">
        <v>5</v>
      </c>
      <c r="AP54" s="15">
        <v>5</v>
      </c>
      <c r="AQ54" s="15">
        <v>5</v>
      </c>
      <c r="AR54" s="15">
        <v>5</v>
      </c>
      <c r="AS54" s="15">
        <v>5</v>
      </c>
      <c r="AT54" s="15">
        <v>5</v>
      </c>
      <c r="AU54" s="15">
        <v>5</v>
      </c>
      <c r="AV54" s="15"/>
      <c r="AW54" s="15"/>
      <c r="AX54" s="15"/>
      <c r="AY54" s="16"/>
      <c r="AZ54" s="15"/>
      <c r="BA54" s="15"/>
      <c r="BB54" s="15"/>
      <c r="BC54" s="16"/>
      <c r="BD54" s="15"/>
      <c r="BE54" s="15"/>
      <c r="BF54" s="15"/>
      <c r="BG54" s="16"/>
      <c r="BH54" s="15"/>
      <c r="BI54" s="15"/>
      <c r="BJ54" s="15"/>
      <c r="BK54" s="16"/>
      <c r="BL54" s="15"/>
      <c r="BM54" s="15"/>
      <c r="BN54" s="15"/>
      <c r="BO54" s="16"/>
      <c r="BP54" s="15"/>
      <c r="BQ54" s="15"/>
      <c r="BR54" s="15"/>
      <c r="BS54" s="16"/>
      <c r="BT54" s="15"/>
      <c r="BU54" s="15"/>
      <c r="BV54" s="15"/>
      <c r="BW54" s="16"/>
      <c r="BX54" s="15"/>
      <c r="BY54" s="15"/>
      <c r="BZ54" s="15"/>
      <c r="CA54" s="17"/>
      <c r="CB54" s="19">
        <v>4</v>
      </c>
      <c r="CC54" s="19"/>
      <c r="CD54" s="18">
        <v>45874</v>
      </c>
      <c r="CE54" s="19"/>
      <c r="CF54" s="20">
        <v>5</v>
      </c>
      <c r="CG54" s="21">
        <f t="shared" ref="CG54:CJ54" si="51">AVERAGE(BX54,BT54,BP54,BL54,BH54,BD54,AZ54,AV54,AR54,AN54,AJ54,AF54,AB54,X54,T54,P54,L54,H54,D54)</f>
        <v>5</v>
      </c>
      <c r="CH54" s="22">
        <f t="shared" si="51"/>
        <v>5</v>
      </c>
      <c r="CI54" s="22">
        <f t="shared" si="51"/>
        <v>5</v>
      </c>
      <c r="CJ54" s="22">
        <f t="shared" si="51"/>
        <v>5</v>
      </c>
      <c r="CK54" s="22">
        <f>(' Follow Up 1st'!$CB54+' Follow Up 1st'!$CC54)/2</f>
        <v>2</v>
      </c>
      <c r="CL54" s="23">
        <f>(' Follow Up 1st'!$CD54+' Follow Up 1st'!$CE54)/2</f>
        <v>22937</v>
      </c>
      <c r="CM54" s="24">
        <v>5</v>
      </c>
    </row>
    <row r="55" spans="1:91" ht="18.75" customHeight="1" x14ac:dyDescent="0.55000000000000004">
      <c r="A55" s="10">
        <v>53</v>
      </c>
      <c r="B55" s="25" t="s">
        <v>92</v>
      </c>
      <c r="C55" s="27" t="s">
        <v>82</v>
      </c>
      <c r="D55" s="12">
        <v>5</v>
      </c>
      <c r="E55" s="12">
        <v>5</v>
      </c>
      <c r="F55" s="12">
        <v>5</v>
      </c>
      <c r="G55" s="13">
        <v>5</v>
      </c>
      <c r="H55" s="13">
        <v>5</v>
      </c>
      <c r="I55" s="13">
        <v>5</v>
      </c>
      <c r="J55" s="13">
        <v>5</v>
      </c>
      <c r="K55" s="13">
        <v>5</v>
      </c>
      <c r="L55" s="13">
        <v>5</v>
      </c>
      <c r="M55" s="13">
        <v>5</v>
      </c>
      <c r="N55" s="13">
        <v>5</v>
      </c>
      <c r="O55" s="13">
        <v>5</v>
      </c>
      <c r="P55" s="12">
        <v>5</v>
      </c>
      <c r="Q55" s="12">
        <v>5</v>
      </c>
      <c r="R55" s="12">
        <v>5</v>
      </c>
      <c r="S55" s="13">
        <v>5</v>
      </c>
      <c r="T55" s="14">
        <v>5</v>
      </c>
      <c r="U55" s="14">
        <v>5</v>
      </c>
      <c r="V55" s="14">
        <v>5</v>
      </c>
      <c r="W55" s="14">
        <v>5</v>
      </c>
      <c r="X55" s="15">
        <v>5</v>
      </c>
      <c r="Y55" s="15">
        <v>5</v>
      </c>
      <c r="Z55" s="15">
        <v>5</v>
      </c>
      <c r="AA55" s="15">
        <v>5</v>
      </c>
      <c r="AB55" s="15">
        <v>5</v>
      </c>
      <c r="AC55" s="15">
        <v>5</v>
      </c>
      <c r="AD55" s="15">
        <v>5</v>
      </c>
      <c r="AE55" s="15">
        <v>5</v>
      </c>
      <c r="AF55" s="15">
        <v>5</v>
      </c>
      <c r="AG55" s="15">
        <v>5</v>
      </c>
      <c r="AH55" s="15">
        <v>5</v>
      </c>
      <c r="AI55" s="15">
        <v>5</v>
      </c>
      <c r="AJ55" s="15">
        <v>5</v>
      </c>
      <c r="AK55" s="15">
        <v>5</v>
      </c>
      <c r="AL55" s="15">
        <v>5</v>
      </c>
      <c r="AM55" s="15">
        <v>5</v>
      </c>
      <c r="AN55" s="15">
        <v>5</v>
      </c>
      <c r="AO55" s="15">
        <v>5</v>
      </c>
      <c r="AP55" s="15">
        <v>5</v>
      </c>
      <c r="AQ55" s="15">
        <v>5</v>
      </c>
      <c r="AR55" s="15">
        <v>5</v>
      </c>
      <c r="AS55" s="15">
        <v>5</v>
      </c>
      <c r="AT55" s="15">
        <v>5</v>
      </c>
      <c r="AU55" s="15">
        <v>5</v>
      </c>
      <c r="AV55" s="15"/>
      <c r="AW55" s="15"/>
      <c r="AX55" s="15"/>
      <c r="AY55" s="16"/>
      <c r="AZ55" s="15"/>
      <c r="BA55" s="15"/>
      <c r="BB55" s="15"/>
      <c r="BC55" s="16"/>
      <c r="BD55" s="15"/>
      <c r="BE55" s="15"/>
      <c r="BF55" s="15"/>
      <c r="BG55" s="16"/>
      <c r="BH55" s="15"/>
      <c r="BI55" s="15"/>
      <c r="BJ55" s="15"/>
      <c r="BK55" s="16"/>
      <c r="BL55" s="15"/>
      <c r="BM55" s="15"/>
      <c r="BN55" s="15"/>
      <c r="BO55" s="16"/>
      <c r="BP55" s="15"/>
      <c r="BQ55" s="15"/>
      <c r="BR55" s="15"/>
      <c r="BS55" s="16"/>
      <c r="BT55" s="15"/>
      <c r="BU55" s="15"/>
      <c r="BV55" s="15"/>
      <c r="BW55" s="16"/>
      <c r="BX55" s="15"/>
      <c r="BY55" s="15"/>
      <c r="BZ55" s="15"/>
      <c r="CA55" s="17"/>
      <c r="CB55" s="19">
        <v>5</v>
      </c>
      <c r="CC55" s="19"/>
      <c r="CD55" s="18">
        <v>45905</v>
      </c>
      <c r="CE55" s="19"/>
      <c r="CF55" s="20">
        <v>5</v>
      </c>
      <c r="CG55" s="21">
        <f t="shared" ref="CG55:CJ55" si="52">AVERAGE(BX55,BT55,BP55,BL55,BH55,BD55,AZ55,AV55,AR55,AN55,AJ55,AF55,AB55,X55,T55,P55,L55,H55,D55)</f>
        <v>5</v>
      </c>
      <c r="CH55" s="22">
        <f t="shared" si="52"/>
        <v>5</v>
      </c>
      <c r="CI55" s="22">
        <f t="shared" si="52"/>
        <v>5</v>
      </c>
      <c r="CJ55" s="22">
        <f t="shared" si="52"/>
        <v>5</v>
      </c>
      <c r="CK55" s="22">
        <f>(' Follow Up 1st'!$CB55+' Follow Up 1st'!$CC55)/2</f>
        <v>2.5</v>
      </c>
      <c r="CL55" s="23">
        <f>(' Follow Up 1st'!$CD55+' Follow Up 1st'!$CE55)/2</f>
        <v>22952.5</v>
      </c>
      <c r="CM55" s="24">
        <v>5</v>
      </c>
    </row>
    <row r="56" spans="1:91" ht="18.75" customHeight="1" x14ac:dyDescent="0.55000000000000004">
      <c r="A56" s="10">
        <v>54</v>
      </c>
      <c r="B56" s="25" t="s">
        <v>93</v>
      </c>
      <c r="C56" s="27" t="s">
        <v>82</v>
      </c>
      <c r="D56" s="12">
        <v>5</v>
      </c>
      <c r="E56" s="12">
        <v>5</v>
      </c>
      <c r="F56" s="12">
        <v>5</v>
      </c>
      <c r="G56" s="13">
        <v>5</v>
      </c>
      <c r="H56" s="13">
        <v>5</v>
      </c>
      <c r="I56" s="13">
        <v>5</v>
      </c>
      <c r="J56" s="13">
        <v>5</v>
      </c>
      <c r="K56" s="13">
        <v>5</v>
      </c>
      <c r="L56" s="13">
        <v>5</v>
      </c>
      <c r="M56" s="13">
        <v>5</v>
      </c>
      <c r="N56" s="13">
        <v>5</v>
      </c>
      <c r="O56" s="13">
        <v>5</v>
      </c>
      <c r="P56" s="12">
        <v>5</v>
      </c>
      <c r="Q56" s="12">
        <v>5</v>
      </c>
      <c r="R56" s="12">
        <v>5</v>
      </c>
      <c r="S56" s="13">
        <v>5</v>
      </c>
      <c r="T56" s="14">
        <v>5</v>
      </c>
      <c r="U56" s="14">
        <v>5</v>
      </c>
      <c r="V56" s="14">
        <v>5</v>
      </c>
      <c r="W56" s="14">
        <v>5</v>
      </c>
      <c r="X56" s="15">
        <v>5</v>
      </c>
      <c r="Y56" s="15">
        <v>5</v>
      </c>
      <c r="Z56" s="15">
        <v>5</v>
      </c>
      <c r="AA56" s="15">
        <v>5</v>
      </c>
      <c r="AB56" s="15">
        <v>5</v>
      </c>
      <c r="AC56" s="15">
        <v>5</v>
      </c>
      <c r="AD56" s="15">
        <v>5</v>
      </c>
      <c r="AE56" s="15">
        <v>5</v>
      </c>
      <c r="AF56" s="15">
        <v>5</v>
      </c>
      <c r="AG56" s="15">
        <v>5</v>
      </c>
      <c r="AH56" s="15">
        <v>5</v>
      </c>
      <c r="AI56" s="15">
        <v>5</v>
      </c>
      <c r="AJ56" s="15">
        <v>5</v>
      </c>
      <c r="AK56" s="15">
        <v>5</v>
      </c>
      <c r="AL56" s="15">
        <v>5</v>
      </c>
      <c r="AM56" s="15">
        <v>5</v>
      </c>
      <c r="AN56" s="15">
        <v>5</v>
      </c>
      <c r="AO56" s="15">
        <v>5</v>
      </c>
      <c r="AP56" s="15">
        <v>5</v>
      </c>
      <c r="AQ56" s="15">
        <v>5</v>
      </c>
      <c r="AR56" s="15">
        <v>5</v>
      </c>
      <c r="AS56" s="15">
        <v>5</v>
      </c>
      <c r="AT56" s="15">
        <v>5</v>
      </c>
      <c r="AU56" s="15">
        <v>5</v>
      </c>
      <c r="AV56" s="15"/>
      <c r="AW56" s="15"/>
      <c r="AX56" s="15"/>
      <c r="AY56" s="16"/>
      <c r="AZ56" s="15"/>
      <c r="BA56" s="15"/>
      <c r="BB56" s="15"/>
      <c r="BC56" s="16"/>
      <c r="BD56" s="15"/>
      <c r="BE56" s="15"/>
      <c r="BF56" s="15"/>
      <c r="BG56" s="16"/>
      <c r="BH56" s="15"/>
      <c r="BI56" s="15"/>
      <c r="BJ56" s="15"/>
      <c r="BK56" s="16"/>
      <c r="BL56" s="15"/>
      <c r="BM56" s="15"/>
      <c r="BN56" s="15"/>
      <c r="BO56" s="16"/>
      <c r="BP56" s="15"/>
      <c r="BQ56" s="15"/>
      <c r="BR56" s="15"/>
      <c r="BS56" s="16"/>
      <c r="BT56" s="15"/>
      <c r="BU56" s="15"/>
      <c r="BV56" s="15"/>
      <c r="BW56" s="16"/>
      <c r="BX56" s="15"/>
      <c r="BY56" s="15"/>
      <c r="BZ56" s="15"/>
      <c r="CA56" s="17"/>
      <c r="CB56" s="19">
        <v>5</v>
      </c>
      <c r="CC56" s="19"/>
      <c r="CD56" s="18">
        <v>45905</v>
      </c>
      <c r="CE56" s="19"/>
      <c r="CF56" s="20">
        <v>5</v>
      </c>
      <c r="CG56" s="21">
        <f t="shared" ref="CG56:CJ56" si="53">AVERAGE(BX56,BT56,BP56,BL56,BH56,BD56,AZ56,AV56,AR56,AN56,AJ56,AF56,AB56,X56,T56,P56,L56,H56,D56)</f>
        <v>5</v>
      </c>
      <c r="CH56" s="22">
        <f t="shared" si="53"/>
        <v>5</v>
      </c>
      <c r="CI56" s="22">
        <f t="shared" si="53"/>
        <v>5</v>
      </c>
      <c r="CJ56" s="22">
        <f t="shared" si="53"/>
        <v>5</v>
      </c>
      <c r="CK56" s="22">
        <f>(' Follow Up 1st'!$CB56+' Follow Up 1st'!$CC56)/2</f>
        <v>2.5</v>
      </c>
      <c r="CL56" s="23">
        <f>(' Follow Up 1st'!$CD56+' Follow Up 1st'!$CE56)/2</f>
        <v>22952.5</v>
      </c>
      <c r="CM56" s="24">
        <v>5</v>
      </c>
    </row>
    <row r="57" spans="1:91" ht="18.75" customHeight="1" x14ac:dyDescent="0.55000000000000004">
      <c r="A57" s="10">
        <v>55</v>
      </c>
      <c r="B57" s="25" t="s">
        <v>94</v>
      </c>
      <c r="C57" s="27" t="s">
        <v>82</v>
      </c>
      <c r="D57" s="12">
        <v>5</v>
      </c>
      <c r="E57" s="12">
        <v>5</v>
      </c>
      <c r="F57" s="12">
        <v>5</v>
      </c>
      <c r="G57" s="13">
        <v>5</v>
      </c>
      <c r="H57" s="13">
        <v>5</v>
      </c>
      <c r="I57" s="13">
        <v>5</v>
      </c>
      <c r="J57" s="13">
        <v>5</v>
      </c>
      <c r="K57" s="13">
        <v>5</v>
      </c>
      <c r="L57" s="13">
        <v>5</v>
      </c>
      <c r="M57" s="13">
        <v>5</v>
      </c>
      <c r="N57" s="13">
        <v>5</v>
      </c>
      <c r="O57" s="13">
        <v>5</v>
      </c>
      <c r="P57" s="12">
        <v>5</v>
      </c>
      <c r="Q57" s="12">
        <v>5</v>
      </c>
      <c r="R57" s="12">
        <v>5</v>
      </c>
      <c r="S57" s="13">
        <v>5</v>
      </c>
      <c r="T57" s="14">
        <v>5</v>
      </c>
      <c r="U57" s="14">
        <v>5</v>
      </c>
      <c r="V57" s="14">
        <v>5</v>
      </c>
      <c r="W57" s="14">
        <v>5</v>
      </c>
      <c r="X57" s="15">
        <v>5</v>
      </c>
      <c r="Y57" s="15">
        <v>5</v>
      </c>
      <c r="Z57" s="15">
        <v>5</v>
      </c>
      <c r="AA57" s="15">
        <v>5</v>
      </c>
      <c r="AB57" s="15">
        <v>5</v>
      </c>
      <c r="AC57" s="15">
        <v>5</v>
      </c>
      <c r="AD57" s="15">
        <v>5</v>
      </c>
      <c r="AE57" s="15">
        <v>5</v>
      </c>
      <c r="AF57" s="15">
        <v>5</v>
      </c>
      <c r="AG57" s="15">
        <v>5</v>
      </c>
      <c r="AH57" s="15">
        <v>5</v>
      </c>
      <c r="AI57" s="15">
        <v>5</v>
      </c>
      <c r="AJ57" s="15">
        <v>5</v>
      </c>
      <c r="AK57" s="15">
        <v>5</v>
      </c>
      <c r="AL57" s="15">
        <v>5</v>
      </c>
      <c r="AM57" s="15">
        <v>5</v>
      </c>
      <c r="AN57" s="15">
        <v>5</v>
      </c>
      <c r="AO57" s="15">
        <v>5</v>
      </c>
      <c r="AP57" s="15">
        <v>5</v>
      </c>
      <c r="AQ57" s="15">
        <v>5</v>
      </c>
      <c r="AR57" s="15">
        <v>5</v>
      </c>
      <c r="AS57" s="15">
        <v>5</v>
      </c>
      <c r="AT57" s="15">
        <v>5</v>
      </c>
      <c r="AU57" s="15">
        <v>5</v>
      </c>
      <c r="AV57" s="15"/>
      <c r="AW57" s="15"/>
      <c r="AX57" s="15"/>
      <c r="AY57" s="16"/>
      <c r="AZ57" s="15"/>
      <c r="BA57" s="15"/>
      <c r="BB57" s="15"/>
      <c r="BC57" s="16"/>
      <c r="BD57" s="15"/>
      <c r="BE57" s="15"/>
      <c r="BF57" s="15"/>
      <c r="BG57" s="16"/>
      <c r="BH57" s="15"/>
      <c r="BI57" s="15"/>
      <c r="BJ57" s="15"/>
      <c r="BK57" s="16"/>
      <c r="BL57" s="15"/>
      <c r="BM57" s="15"/>
      <c r="BN57" s="15"/>
      <c r="BO57" s="16"/>
      <c r="BP57" s="15"/>
      <c r="BQ57" s="15"/>
      <c r="BR57" s="15"/>
      <c r="BS57" s="16"/>
      <c r="BT57" s="15"/>
      <c r="BU57" s="15"/>
      <c r="BV57" s="15"/>
      <c r="BW57" s="16"/>
      <c r="BX57" s="15"/>
      <c r="BY57" s="15"/>
      <c r="BZ57" s="15"/>
      <c r="CA57" s="17"/>
      <c r="CB57" s="19">
        <v>5</v>
      </c>
      <c r="CC57" s="19"/>
      <c r="CD57" s="18">
        <v>45905</v>
      </c>
      <c r="CE57" s="19"/>
      <c r="CF57" s="20">
        <v>5</v>
      </c>
      <c r="CG57" s="21">
        <f t="shared" ref="CG57:CJ57" si="54">AVERAGE(BX57,BT57,BP57,BL57,BH57,BD57,AZ57,AV57,AR57,AN57,AJ57,AF57,AB57,X57,T57,P57,L57,H57,D57)</f>
        <v>5</v>
      </c>
      <c r="CH57" s="22">
        <f t="shared" si="54"/>
        <v>5</v>
      </c>
      <c r="CI57" s="22">
        <f t="shared" si="54"/>
        <v>5</v>
      </c>
      <c r="CJ57" s="22">
        <f t="shared" si="54"/>
        <v>5</v>
      </c>
      <c r="CK57" s="22">
        <f>(' Follow Up 1st'!$CB57+' Follow Up 1st'!$CC57)/2</f>
        <v>2.5</v>
      </c>
      <c r="CL57" s="23">
        <f>(' Follow Up 1st'!$CD57+' Follow Up 1st'!$CE57)/2</f>
        <v>22952.5</v>
      </c>
      <c r="CM57" s="24">
        <v>5</v>
      </c>
    </row>
    <row r="58" spans="1:91" ht="18.75" customHeight="1" x14ac:dyDescent="0.55000000000000004">
      <c r="A58" s="10">
        <v>56</v>
      </c>
      <c r="B58" s="25" t="s">
        <v>95</v>
      </c>
      <c r="C58" s="27" t="s">
        <v>82</v>
      </c>
      <c r="D58" s="12">
        <v>5</v>
      </c>
      <c r="E58" s="12">
        <v>5</v>
      </c>
      <c r="F58" s="12">
        <v>5</v>
      </c>
      <c r="G58" s="13">
        <v>5</v>
      </c>
      <c r="H58" s="13">
        <v>5</v>
      </c>
      <c r="I58" s="13">
        <v>5</v>
      </c>
      <c r="J58" s="13">
        <v>5</v>
      </c>
      <c r="K58" s="13">
        <v>5</v>
      </c>
      <c r="L58" s="13">
        <v>5</v>
      </c>
      <c r="M58" s="13">
        <v>5</v>
      </c>
      <c r="N58" s="13">
        <v>5</v>
      </c>
      <c r="O58" s="13">
        <v>5</v>
      </c>
      <c r="P58" s="12">
        <v>5</v>
      </c>
      <c r="Q58" s="12">
        <v>5</v>
      </c>
      <c r="R58" s="12">
        <v>5</v>
      </c>
      <c r="S58" s="13">
        <v>5</v>
      </c>
      <c r="T58" s="14">
        <v>5</v>
      </c>
      <c r="U58" s="14">
        <v>5</v>
      </c>
      <c r="V58" s="14">
        <v>5</v>
      </c>
      <c r="W58" s="14">
        <v>5</v>
      </c>
      <c r="X58" s="15">
        <v>5</v>
      </c>
      <c r="Y58" s="15">
        <v>5</v>
      </c>
      <c r="Z58" s="15">
        <v>5</v>
      </c>
      <c r="AA58" s="15">
        <v>5</v>
      </c>
      <c r="AB58" s="15">
        <v>5</v>
      </c>
      <c r="AC58" s="15">
        <v>5</v>
      </c>
      <c r="AD58" s="15">
        <v>5</v>
      </c>
      <c r="AE58" s="15">
        <v>5</v>
      </c>
      <c r="AF58" s="15">
        <v>5</v>
      </c>
      <c r="AG58" s="15">
        <v>5</v>
      </c>
      <c r="AH58" s="15">
        <v>5</v>
      </c>
      <c r="AI58" s="15">
        <v>5</v>
      </c>
      <c r="AJ58" s="15">
        <v>5</v>
      </c>
      <c r="AK58" s="15">
        <v>5</v>
      </c>
      <c r="AL58" s="15">
        <v>5</v>
      </c>
      <c r="AM58" s="15">
        <v>5</v>
      </c>
      <c r="AN58" s="15">
        <v>5</v>
      </c>
      <c r="AO58" s="15">
        <v>5</v>
      </c>
      <c r="AP58" s="15">
        <v>5</v>
      </c>
      <c r="AQ58" s="15">
        <v>5</v>
      </c>
      <c r="AR58" s="15">
        <v>5</v>
      </c>
      <c r="AS58" s="15">
        <v>5</v>
      </c>
      <c r="AT58" s="15">
        <v>5</v>
      </c>
      <c r="AU58" s="15">
        <v>5</v>
      </c>
      <c r="AV58" s="15"/>
      <c r="AW58" s="15"/>
      <c r="AX58" s="15"/>
      <c r="AY58" s="16"/>
      <c r="AZ58" s="15"/>
      <c r="BA58" s="15"/>
      <c r="BB58" s="15"/>
      <c r="BC58" s="16"/>
      <c r="BD58" s="15"/>
      <c r="BE58" s="15"/>
      <c r="BF58" s="15"/>
      <c r="BG58" s="16"/>
      <c r="BH58" s="15"/>
      <c r="BI58" s="15"/>
      <c r="BJ58" s="15"/>
      <c r="BK58" s="16"/>
      <c r="BL58" s="15"/>
      <c r="BM58" s="15"/>
      <c r="BN58" s="15"/>
      <c r="BO58" s="16"/>
      <c r="BP58" s="15"/>
      <c r="BQ58" s="15"/>
      <c r="BR58" s="15"/>
      <c r="BS58" s="16"/>
      <c r="BT58" s="15"/>
      <c r="BU58" s="15"/>
      <c r="BV58" s="15"/>
      <c r="BW58" s="16"/>
      <c r="BX58" s="15"/>
      <c r="BY58" s="15"/>
      <c r="BZ58" s="15"/>
      <c r="CA58" s="17"/>
      <c r="CB58" s="19">
        <v>5</v>
      </c>
      <c r="CC58" s="19"/>
      <c r="CD58" s="19">
        <v>10</v>
      </c>
      <c r="CE58" s="19"/>
      <c r="CF58" s="20">
        <v>5</v>
      </c>
      <c r="CG58" s="21">
        <f t="shared" ref="CG58:CJ58" si="55">AVERAGE(BX58,BT58,BP58,BL58,BH58,BD58,AZ58,AV58,AR58,AN58,AJ58,AF58,AB58,X58,T58,P58,L58,H58,D58)</f>
        <v>5</v>
      </c>
      <c r="CH58" s="22">
        <f t="shared" si="55"/>
        <v>5</v>
      </c>
      <c r="CI58" s="22">
        <f t="shared" si="55"/>
        <v>5</v>
      </c>
      <c r="CJ58" s="22">
        <f t="shared" si="55"/>
        <v>5</v>
      </c>
      <c r="CK58" s="22">
        <f>(' Follow Up 1st'!$CB58+' Follow Up 1st'!$CC58)/2</f>
        <v>2.5</v>
      </c>
      <c r="CL58" s="22">
        <f>(' Follow Up 1st'!$CD58+' Follow Up 1st'!$CE58)/2</f>
        <v>5</v>
      </c>
      <c r="CM58" s="24">
        <v>5</v>
      </c>
    </row>
    <row r="59" spans="1:91" ht="18.75" customHeight="1" x14ac:dyDescent="0.55000000000000004">
      <c r="A59" s="10">
        <v>57</v>
      </c>
      <c r="B59" s="25" t="s">
        <v>96</v>
      </c>
      <c r="C59" s="27" t="s">
        <v>82</v>
      </c>
      <c r="D59" s="12">
        <v>5</v>
      </c>
      <c r="E59" s="12">
        <v>5</v>
      </c>
      <c r="F59" s="12">
        <v>5</v>
      </c>
      <c r="G59" s="13">
        <v>5</v>
      </c>
      <c r="H59" s="13">
        <v>5</v>
      </c>
      <c r="I59" s="13">
        <v>5</v>
      </c>
      <c r="J59" s="13">
        <v>5</v>
      </c>
      <c r="K59" s="13">
        <v>5</v>
      </c>
      <c r="L59" s="13">
        <v>5</v>
      </c>
      <c r="M59" s="13">
        <v>5</v>
      </c>
      <c r="N59" s="13">
        <v>5</v>
      </c>
      <c r="O59" s="13">
        <v>5</v>
      </c>
      <c r="P59" s="12">
        <v>5</v>
      </c>
      <c r="Q59" s="12">
        <v>5</v>
      </c>
      <c r="R59" s="12">
        <v>5</v>
      </c>
      <c r="S59" s="13">
        <v>5</v>
      </c>
      <c r="T59" s="14">
        <v>5</v>
      </c>
      <c r="U59" s="14">
        <v>5</v>
      </c>
      <c r="V59" s="14">
        <v>5</v>
      </c>
      <c r="W59" s="14">
        <v>5</v>
      </c>
      <c r="X59" s="15">
        <v>5</v>
      </c>
      <c r="Y59" s="15">
        <v>5</v>
      </c>
      <c r="Z59" s="15">
        <v>5</v>
      </c>
      <c r="AA59" s="15">
        <v>5</v>
      </c>
      <c r="AB59" s="15">
        <v>5</v>
      </c>
      <c r="AC59" s="15">
        <v>5</v>
      </c>
      <c r="AD59" s="15">
        <v>5</v>
      </c>
      <c r="AE59" s="15">
        <v>5</v>
      </c>
      <c r="AF59" s="15">
        <v>5</v>
      </c>
      <c r="AG59" s="15">
        <v>5</v>
      </c>
      <c r="AH59" s="15">
        <v>5</v>
      </c>
      <c r="AI59" s="15">
        <v>5</v>
      </c>
      <c r="AJ59" s="15">
        <v>5</v>
      </c>
      <c r="AK59" s="15">
        <v>5</v>
      </c>
      <c r="AL59" s="15">
        <v>5</v>
      </c>
      <c r="AM59" s="15">
        <v>5</v>
      </c>
      <c r="AN59" s="15">
        <v>5</v>
      </c>
      <c r="AO59" s="15">
        <v>5</v>
      </c>
      <c r="AP59" s="15">
        <v>5</v>
      </c>
      <c r="AQ59" s="15">
        <v>5</v>
      </c>
      <c r="AR59" s="15">
        <v>5</v>
      </c>
      <c r="AS59" s="15">
        <v>5</v>
      </c>
      <c r="AT59" s="15">
        <v>5</v>
      </c>
      <c r="AU59" s="15">
        <v>5</v>
      </c>
      <c r="AV59" s="15"/>
      <c r="AW59" s="15"/>
      <c r="AX59" s="15"/>
      <c r="AY59" s="16"/>
      <c r="AZ59" s="15"/>
      <c r="BA59" s="15"/>
      <c r="BB59" s="15"/>
      <c r="BC59" s="16"/>
      <c r="BD59" s="15"/>
      <c r="BE59" s="15"/>
      <c r="BF59" s="15"/>
      <c r="BG59" s="16"/>
      <c r="BH59" s="15"/>
      <c r="BI59" s="15"/>
      <c r="BJ59" s="15"/>
      <c r="BK59" s="16"/>
      <c r="BL59" s="15"/>
      <c r="BM59" s="15"/>
      <c r="BN59" s="15"/>
      <c r="BO59" s="16"/>
      <c r="BP59" s="15"/>
      <c r="BQ59" s="15"/>
      <c r="BR59" s="15"/>
      <c r="BS59" s="16"/>
      <c r="BT59" s="15"/>
      <c r="BU59" s="15"/>
      <c r="BV59" s="15"/>
      <c r="BW59" s="16"/>
      <c r="BX59" s="15"/>
      <c r="BY59" s="15"/>
      <c r="BZ59" s="15"/>
      <c r="CA59" s="17"/>
      <c r="CB59" s="19">
        <v>5</v>
      </c>
      <c r="CC59" s="19"/>
      <c r="CD59" s="19">
        <v>10</v>
      </c>
      <c r="CE59" s="19"/>
      <c r="CF59" s="20">
        <v>5</v>
      </c>
      <c r="CG59" s="21">
        <f t="shared" ref="CG59:CJ59" si="56">AVERAGE(BX59,BT59,BP59,BL59,BH59,BD59,AZ59,AV59,AR59,AN59,AJ59,AF59,AB59,X59,T59,P59,L59,H59,D59)</f>
        <v>5</v>
      </c>
      <c r="CH59" s="22">
        <f t="shared" si="56"/>
        <v>5</v>
      </c>
      <c r="CI59" s="22">
        <f t="shared" si="56"/>
        <v>5</v>
      </c>
      <c r="CJ59" s="22">
        <f t="shared" si="56"/>
        <v>5</v>
      </c>
      <c r="CK59" s="22">
        <f>(' Follow Up 1st'!$CB59+' Follow Up 1st'!$CC59)/2</f>
        <v>2.5</v>
      </c>
      <c r="CL59" s="22">
        <f>(' Follow Up 1st'!$CD59+' Follow Up 1st'!$CE59)/2</f>
        <v>5</v>
      </c>
      <c r="CM59" s="24">
        <v>5</v>
      </c>
    </row>
    <row r="60" spans="1:91" ht="18.75" customHeight="1" x14ac:dyDescent="0.55000000000000004">
      <c r="A60" s="10">
        <v>58</v>
      </c>
      <c r="B60" s="25" t="s">
        <v>97</v>
      </c>
      <c r="C60" s="27" t="s">
        <v>82</v>
      </c>
      <c r="D60" s="12">
        <v>5</v>
      </c>
      <c r="E60" s="12">
        <v>5</v>
      </c>
      <c r="F60" s="12">
        <v>5</v>
      </c>
      <c r="G60" s="13">
        <v>5</v>
      </c>
      <c r="H60" s="13">
        <v>5</v>
      </c>
      <c r="I60" s="13">
        <v>5</v>
      </c>
      <c r="J60" s="13">
        <v>5</v>
      </c>
      <c r="K60" s="13">
        <v>5</v>
      </c>
      <c r="L60" s="13">
        <v>5</v>
      </c>
      <c r="M60" s="13">
        <v>5</v>
      </c>
      <c r="N60" s="13">
        <v>5</v>
      </c>
      <c r="O60" s="13">
        <v>5</v>
      </c>
      <c r="P60" s="12">
        <v>5</v>
      </c>
      <c r="Q60" s="12">
        <v>5</v>
      </c>
      <c r="R60" s="12">
        <v>5</v>
      </c>
      <c r="S60" s="13">
        <v>5</v>
      </c>
      <c r="T60" s="14">
        <v>5</v>
      </c>
      <c r="U60" s="14">
        <v>5</v>
      </c>
      <c r="V60" s="14">
        <v>5</v>
      </c>
      <c r="W60" s="14">
        <v>5</v>
      </c>
      <c r="X60" s="15">
        <v>5</v>
      </c>
      <c r="Y60" s="15">
        <v>5</v>
      </c>
      <c r="Z60" s="15">
        <v>5</v>
      </c>
      <c r="AA60" s="15">
        <v>5</v>
      </c>
      <c r="AB60" s="15">
        <v>5</v>
      </c>
      <c r="AC60" s="15">
        <v>5</v>
      </c>
      <c r="AD60" s="15">
        <v>5</v>
      </c>
      <c r="AE60" s="15">
        <v>5</v>
      </c>
      <c r="AF60" s="15">
        <v>5</v>
      </c>
      <c r="AG60" s="15">
        <v>5</v>
      </c>
      <c r="AH60" s="15">
        <v>5</v>
      </c>
      <c r="AI60" s="15">
        <v>5</v>
      </c>
      <c r="AJ60" s="15">
        <v>5</v>
      </c>
      <c r="AK60" s="15">
        <v>5</v>
      </c>
      <c r="AL60" s="15">
        <v>5</v>
      </c>
      <c r="AM60" s="15">
        <v>5</v>
      </c>
      <c r="AN60" s="15">
        <v>5</v>
      </c>
      <c r="AO60" s="15">
        <v>5</v>
      </c>
      <c r="AP60" s="15">
        <v>5</v>
      </c>
      <c r="AQ60" s="15">
        <v>5</v>
      </c>
      <c r="AR60" s="15">
        <v>5</v>
      </c>
      <c r="AS60" s="15">
        <v>5</v>
      </c>
      <c r="AT60" s="15">
        <v>5</v>
      </c>
      <c r="AU60" s="15">
        <v>5</v>
      </c>
      <c r="AV60" s="15"/>
      <c r="AW60" s="15"/>
      <c r="AX60" s="15"/>
      <c r="AY60" s="16"/>
      <c r="AZ60" s="15"/>
      <c r="BA60" s="15"/>
      <c r="BB60" s="15"/>
      <c r="BC60" s="16"/>
      <c r="BD60" s="15"/>
      <c r="BE60" s="15"/>
      <c r="BF60" s="15"/>
      <c r="BG60" s="16"/>
      <c r="BH60" s="15"/>
      <c r="BI60" s="15"/>
      <c r="BJ60" s="15"/>
      <c r="BK60" s="16"/>
      <c r="BL60" s="15"/>
      <c r="BM60" s="15"/>
      <c r="BN60" s="15"/>
      <c r="BO60" s="16"/>
      <c r="BP60" s="15"/>
      <c r="BQ60" s="15"/>
      <c r="BR60" s="15"/>
      <c r="BS60" s="16"/>
      <c r="BT60" s="15"/>
      <c r="BU60" s="15"/>
      <c r="BV60" s="15"/>
      <c r="BW60" s="16"/>
      <c r="BX60" s="15"/>
      <c r="BY60" s="15"/>
      <c r="BZ60" s="15"/>
      <c r="CA60" s="17"/>
      <c r="CB60" s="19">
        <v>4</v>
      </c>
      <c r="CC60" s="19"/>
      <c r="CD60" s="18">
        <v>45874</v>
      </c>
      <c r="CE60" s="19"/>
      <c r="CF60" s="20">
        <v>5</v>
      </c>
      <c r="CG60" s="21">
        <f t="shared" ref="CG60:CJ60" si="57">AVERAGE(BX60,BT60,BP60,BL60,BH60,BD60,AZ60,AV60,AR60,AN60,AJ60,AF60,AB60,X60,T60,P60,L60,H60,D60)</f>
        <v>5</v>
      </c>
      <c r="CH60" s="22">
        <f t="shared" si="57"/>
        <v>5</v>
      </c>
      <c r="CI60" s="22">
        <f t="shared" si="57"/>
        <v>5</v>
      </c>
      <c r="CJ60" s="22">
        <f t="shared" si="57"/>
        <v>5</v>
      </c>
      <c r="CK60" s="22">
        <f>(' Follow Up 1st'!$CB60+' Follow Up 1st'!$CC60)/2</f>
        <v>2</v>
      </c>
      <c r="CL60" s="23">
        <f>(' Follow Up 1st'!$CD60+' Follow Up 1st'!$CE60)/2</f>
        <v>22937</v>
      </c>
      <c r="CM60" s="24">
        <v>5</v>
      </c>
    </row>
    <row r="61" spans="1:91" ht="18.75" customHeight="1" x14ac:dyDescent="0.55000000000000004">
      <c r="A61" s="10">
        <v>59</v>
      </c>
      <c r="B61" s="25" t="s">
        <v>98</v>
      </c>
      <c r="C61" s="27" t="s">
        <v>82</v>
      </c>
      <c r="D61" s="12">
        <v>5</v>
      </c>
      <c r="E61" s="12">
        <v>5</v>
      </c>
      <c r="F61" s="12">
        <v>5</v>
      </c>
      <c r="G61" s="13">
        <v>5</v>
      </c>
      <c r="H61" s="13">
        <v>5</v>
      </c>
      <c r="I61" s="13">
        <v>5</v>
      </c>
      <c r="J61" s="13">
        <v>5</v>
      </c>
      <c r="K61" s="13">
        <v>5</v>
      </c>
      <c r="L61" s="13">
        <v>5</v>
      </c>
      <c r="M61" s="13">
        <v>5</v>
      </c>
      <c r="N61" s="13">
        <v>5</v>
      </c>
      <c r="O61" s="13">
        <v>0</v>
      </c>
      <c r="P61" s="12">
        <v>5</v>
      </c>
      <c r="Q61" s="12">
        <v>5</v>
      </c>
      <c r="R61" s="12">
        <v>5</v>
      </c>
      <c r="S61" s="13">
        <v>5</v>
      </c>
      <c r="T61" s="14">
        <v>5</v>
      </c>
      <c r="U61" s="14">
        <v>5</v>
      </c>
      <c r="V61" s="14">
        <v>5</v>
      </c>
      <c r="W61" s="14">
        <v>5</v>
      </c>
      <c r="X61" s="15">
        <v>5</v>
      </c>
      <c r="Y61" s="15">
        <v>5</v>
      </c>
      <c r="Z61" s="15">
        <v>5</v>
      </c>
      <c r="AA61" s="15">
        <v>5</v>
      </c>
      <c r="AB61" s="15">
        <v>5</v>
      </c>
      <c r="AC61" s="15">
        <v>5</v>
      </c>
      <c r="AD61" s="15">
        <v>5</v>
      </c>
      <c r="AE61" s="15">
        <v>5</v>
      </c>
      <c r="AF61" s="15">
        <v>5</v>
      </c>
      <c r="AG61" s="15">
        <v>5</v>
      </c>
      <c r="AH61" s="15">
        <v>5</v>
      </c>
      <c r="AI61" s="15">
        <v>5</v>
      </c>
      <c r="AJ61" s="15">
        <v>5</v>
      </c>
      <c r="AK61" s="15">
        <v>5</v>
      </c>
      <c r="AL61" s="15">
        <v>5</v>
      </c>
      <c r="AM61" s="15">
        <v>5</v>
      </c>
      <c r="AN61" s="15">
        <v>5</v>
      </c>
      <c r="AO61" s="15">
        <v>5</v>
      </c>
      <c r="AP61" s="15">
        <v>5</v>
      </c>
      <c r="AQ61" s="15">
        <v>5</v>
      </c>
      <c r="AR61" s="15">
        <v>5</v>
      </c>
      <c r="AS61" s="15">
        <v>5</v>
      </c>
      <c r="AT61" s="15">
        <v>5</v>
      </c>
      <c r="AU61" s="15">
        <v>5</v>
      </c>
      <c r="AV61" s="15"/>
      <c r="AW61" s="15"/>
      <c r="AX61" s="15"/>
      <c r="AY61" s="16"/>
      <c r="AZ61" s="15"/>
      <c r="BA61" s="15"/>
      <c r="BB61" s="15"/>
      <c r="BC61" s="16"/>
      <c r="BD61" s="15"/>
      <c r="BE61" s="15"/>
      <c r="BF61" s="15"/>
      <c r="BG61" s="16"/>
      <c r="BH61" s="15"/>
      <c r="BI61" s="15"/>
      <c r="BJ61" s="15"/>
      <c r="BK61" s="16"/>
      <c r="BL61" s="15"/>
      <c r="BM61" s="15"/>
      <c r="BN61" s="15"/>
      <c r="BO61" s="16"/>
      <c r="BP61" s="15"/>
      <c r="BQ61" s="15"/>
      <c r="BR61" s="15"/>
      <c r="BS61" s="16"/>
      <c r="BT61" s="15"/>
      <c r="BU61" s="15"/>
      <c r="BV61" s="15"/>
      <c r="BW61" s="16"/>
      <c r="BX61" s="15"/>
      <c r="BY61" s="15"/>
      <c r="BZ61" s="15"/>
      <c r="CA61" s="17"/>
      <c r="CB61" s="19">
        <v>3</v>
      </c>
      <c r="CC61" s="19"/>
      <c r="CD61" s="19">
        <v>7</v>
      </c>
      <c r="CE61" s="19"/>
      <c r="CF61" s="20">
        <v>5</v>
      </c>
      <c r="CG61" s="21">
        <f t="shared" ref="CG61:CJ61" si="58">AVERAGE(BX61,BT61,BP61,BL61,BH61,BD61,AZ61,AV61,AR61,AN61,AJ61,AF61,AB61,X61,T61,P61,L61,H61,D61)</f>
        <v>5</v>
      </c>
      <c r="CH61" s="22">
        <f t="shared" si="58"/>
        <v>5</v>
      </c>
      <c r="CI61" s="22">
        <f t="shared" si="58"/>
        <v>5</v>
      </c>
      <c r="CJ61" s="22">
        <f t="shared" si="58"/>
        <v>4.5454545454545459</v>
      </c>
      <c r="CK61" s="22">
        <f>(' Follow Up 1st'!$CB61+' Follow Up 1st'!$CC61)/2</f>
        <v>1.5</v>
      </c>
      <c r="CL61" s="22">
        <f>(' Follow Up 1st'!$CD61+' Follow Up 1st'!$CE61)/2</f>
        <v>3.5</v>
      </c>
      <c r="CM61" s="24">
        <v>5</v>
      </c>
    </row>
    <row r="62" spans="1:91" ht="18.75" customHeight="1" x14ac:dyDescent="0.55000000000000004">
      <c r="A62" s="10">
        <v>60</v>
      </c>
      <c r="B62" s="25" t="s">
        <v>99</v>
      </c>
      <c r="C62" s="25" t="s">
        <v>100</v>
      </c>
      <c r="D62" s="12">
        <v>5</v>
      </c>
      <c r="E62" s="12">
        <v>5</v>
      </c>
      <c r="F62" s="12">
        <v>5</v>
      </c>
      <c r="G62" s="13">
        <v>5</v>
      </c>
      <c r="H62" s="13">
        <v>5</v>
      </c>
      <c r="I62" s="13">
        <v>5</v>
      </c>
      <c r="J62" s="13">
        <v>5</v>
      </c>
      <c r="K62" s="13">
        <v>5</v>
      </c>
      <c r="L62" s="13">
        <v>5</v>
      </c>
      <c r="M62" s="13">
        <v>5</v>
      </c>
      <c r="N62" s="13">
        <v>5</v>
      </c>
      <c r="O62" s="13">
        <v>5</v>
      </c>
      <c r="P62" s="15">
        <v>5</v>
      </c>
      <c r="Q62" s="12">
        <v>5</v>
      </c>
      <c r="R62" s="12">
        <v>5</v>
      </c>
      <c r="S62" s="13">
        <v>5</v>
      </c>
      <c r="T62" s="14">
        <v>5</v>
      </c>
      <c r="U62" s="14">
        <v>5</v>
      </c>
      <c r="V62" s="14">
        <v>5</v>
      </c>
      <c r="W62" s="14">
        <v>5</v>
      </c>
      <c r="X62" s="15">
        <v>5</v>
      </c>
      <c r="Y62" s="15">
        <v>5</v>
      </c>
      <c r="Z62" s="15">
        <v>5</v>
      </c>
      <c r="AA62" s="15">
        <v>5</v>
      </c>
      <c r="AB62" s="15">
        <v>5</v>
      </c>
      <c r="AC62" s="15">
        <v>5</v>
      </c>
      <c r="AD62" s="15">
        <v>5</v>
      </c>
      <c r="AE62" s="15">
        <v>5</v>
      </c>
      <c r="AF62" s="15">
        <v>5</v>
      </c>
      <c r="AG62" s="15">
        <v>5</v>
      </c>
      <c r="AH62" s="15">
        <v>5</v>
      </c>
      <c r="AI62" s="15">
        <v>5</v>
      </c>
      <c r="AJ62" s="15">
        <v>5</v>
      </c>
      <c r="AK62" s="15">
        <v>5</v>
      </c>
      <c r="AL62" s="15">
        <v>5</v>
      </c>
      <c r="AM62" s="15">
        <v>5</v>
      </c>
      <c r="AN62" s="15">
        <v>5</v>
      </c>
      <c r="AO62" s="15">
        <v>5</v>
      </c>
      <c r="AP62" s="15">
        <v>5</v>
      </c>
      <c r="AQ62" s="15">
        <v>5</v>
      </c>
      <c r="AR62" s="15"/>
      <c r="AS62" s="15"/>
      <c r="AT62" s="15"/>
      <c r="AU62" s="16"/>
      <c r="AV62" s="15"/>
      <c r="AW62" s="15"/>
      <c r="AX62" s="15"/>
      <c r="AY62" s="16"/>
      <c r="AZ62" s="15"/>
      <c r="BA62" s="15"/>
      <c r="BB62" s="15"/>
      <c r="BC62" s="16"/>
      <c r="BD62" s="15"/>
      <c r="BE62" s="15"/>
      <c r="BF62" s="15"/>
      <c r="BG62" s="16"/>
      <c r="BH62" s="15"/>
      <c r="BI62" s="15"/>
      <c r="BJ62" s="15"/>
      <c r="BK62" s="16"/>
      <c r="BL62" s="15"/>
      <c r="BM62" s="15"/>
      <c r="BN62" s="15"/>
      <c r="BO62" s="16"/>
      <c r="BP62" s="15"/>
      <c r="BQ62" s="15"/>
      <c r="BR62" s="15"/>
      <c r="BS62" s="16"/>
      <c r="BT62" s="15"/>
      <c r="BU62" s="15"/>
      <c r="BV62" s="15"/>
      <c r="BW62" s="16"/>
      <c r="BX62" s="15"/>
      <c r="BY62" s="15"/>
      <c r="BZ62" s="15"/>
      <c r="CA62" s="17"/>
      <c r="CB62" s="19">
        <v>5</v>
      </c>
      <c r="CC62" s="19"/>
      <c r="CD62" s="18">
        <v>45874</v>
      </c>
      <c r="CE62" s="19"/>
      <c r="CF62" s="20">
        <v>5</v>
      </c>
      <c r="CG62" s="21">
        <f t="shared" ref="CG62:CJ62" si="59">AVERAGE(BX62,BT62,BP62,BL62,BH62,BD62,AZ62,AV62,AR62,AN62,AJ62,AF62,AB62,X62,T62,P62,L62,H62,D62)</f>
        <v>5</v>
      </c>
      <c r="CH62" s="22">
        <f t="shared" si="59"/>
        <v>5</v>
      </c>
      <c r="CI62" s="22">
        <f t="shared" si="59"/>
        <v>5</v>
      </c>
      <c r="CJ62" s="22">
        <f t="shared" si="59"/>
        <v>5</v>
      </c>
      <c r="CK62" s="22">
        <f>(' Follow Up 1st'!$CB62+' Follow Up 1st'!$CC62)/2</f>
        <v>2.5</v>
      </c>
      <c r="CL62" s="23">
        <f>(' Follow Up 1st'!$CD62+' Follow Up 1st'!$CE62)/2</f>
        <v>22937</v>
      </c>
      <c r="CM62" s="24">
        <v>5</v>
      </c>
    </row>
    <row r="63" spans="1:91" ht="18.75" customHeight="1" x14ac:dyDescent="0.55000000000000004">
      <c r="A63" s="10">
        <v>61</v>
      </c>
      <c r="B63" s="25" t="s">
        <v>101</v>
      </c>
      <c r="C63" s="25" t="s">
        <v>100</v>
      </c>
      <c r="D63" s="12">
        <v>5</v>
      </c>
      <c r="E63" s="12">
        <v>5</v>
      </c>
      <c r="F63" s="12">
        <v>5</v>
      </c>
      <c r="G63" s="13">
        <v>5</v>
      </c>
      <c r="H63" s="13">
        <v>5</v>
      </c>
      <c r="I63" s="13">
        <v>5</v>
      </c>
      <c r="J63" s="13">
        <v>5</v>
      </c>
      <c r="K63" s="13">
        <v>5</v>
      </c>
      <c r="L63" s="13">
        <v>5</v>
      </c>
      <c r="M63" s="13">
        <v>5</v>
      </c>
      <c r="N63" s="13">
        <v>5</v>
      </c>
      <c r="O63" s="13">
        <v>5</v>
      </c>
      <c r="P63" s="15">
        <v>5</v>
      </c>
      <c r="Q63" s="12">
        <v>5</v>
      </c>
      <c r="R63" s="12">
        <v>5</v>
      </c>
      <c r="S63" s="13">
        <v>5</v>
      </c>
      <c r="T63" s="14">
        <v>5</v>
      </c>
      <c r="U63" s="14">
        <v>5</v>
      </c>
      <c r="V63" s="14">
        <v>5</v>
      </c>
      <c r="W63" s="14">
        <v>5</v>
      </c>
      <c r="X63" s="15">
        <v>5</v>
      </c>
      <c r="Y63" s="15">
        <v>5</v>
      </c>
      <c r="Z63" s="15">
        <v>5</v>
      </c>
      <c r="AA63" s="15">
        <v>5</v>
      </c>
      <c r="AB63" s="15">
        <v>5</v>
      </c>
      <c r="AC63" s="15">
        <v>5</v>
      </c>
      <c r="AD63" s="15">
        <v>5</v>
      </c>
      <c r="AE63" s="15">
        <v>5</v>
      </c>
      <c r="AF63" s="15">
        <v>5</v>
      </c>
      <c r="AG63" s="15">
        <v>5</v>
      </c>
      <c r="AH63" s="15">
        <v>5</v>
      </c>
      <c r="AI63" s="15">
        <v>5</v>
      </c>
      <c r="AJ63" s="15">
        <v>5</v>
      </c>
      <c r="AK63" s="15">
        <v>5</v>
      </c>
      <c r="AL63" s="15">
        <v>5</v>
      </c>
      <c r="AM63" s="15">
        <v>5</v>
      </c>
      <c r="AN63" s="15">
        <v>5</v>
      </c>
      <c r="AO63" s="15">
        <v>5</v>
      </c>
      <c r="AP63" s="15">
        <v>5</v>
      </c>
      <c r="AQ63" s="15">
        <v>5</v>
      </c>
      <c r="AR63" s="15"/>
      <c r="AS63" s="15"/>
      <c r="AT63" s="15"/>
      <c r="AU63" s="16"/>
      <c r="AV63" s="15"/>
      <c r="AW63" s="15"/>
      <c r="AX63" s="15"/>
      <c r="AY63" s="16"/>
      <c r="AZ63" s="15"/>
      <c r="BA63" s="15"/>
      <c r="BB63" s="15"/>
      <c r="BC63" s="16"/>
      <c r="BD63" s="15"/>
      <c r="BE63" s="15"/>
      <c r="BF63" s="15"/>
      <c r="BG63" s="16"/>
      <c r="BH63" s="15"/>
      <c r="BI63" s="15"/>
      <c r="BJ63" s="15"/>
      <c r="BK63" s="16"/>
      <c r="BL63" s="15"/>
      <c r="BM63" s="15"/>
      <c r="BN63" s="15"/>
      <c r="BO63" s="16"/>
      <c r="BP63" s="15"/>
      <c r="BQ63" s="15"/>
      <c r="BR63" s="15"/>
      <c r="BS63" s="16"/>
      <c r="BT63" s="15"/>
      <c r="BU63" s="15"/>
      <c r="BV63" s="15"/>
      <c r="BW63" s="16"/>
      <c r="BX63" s="15"/>
      <c r="BY63" s="15"/>
      <c r="BZ63" s="15"/>
      <c r="CA63" s="17"/>
      <c r="CB63" s="19">
        <v>5</v>
      </c>
      <c r="CC63" s="19"/>
      <c r="CD63" s="18">
        <v>45905</v>
      </c>
      <c r="CE63" s="19"/>
      <c r="CF63" s="20">
        <v>5</v>
      </c>
      <c r="CG63" s="21">
        <f t="shared" ref="CG63:CJ63" si="60">AVERAGE(BX63,BT63,BP63,BL63,BH63,BD63,AZ63,AV63,AR63,AN63,AJ63,AF63,AB63,X63,T63,P63,L63,H63,D63)</f>
        <v>5</v>
      </c>
      <c r="CH63" s="22">
        <f t="shared" si="60"/>
        <v>5</v>
      </c>
      <c r="CI63" s="22">
        <f t="shared" si="60"/>
        <v>5</v>
      </c>
      <c r="CJ63" s="22">
        <f t="shared" si="60"/>
        <v>5</v>
      </c>
      <c r="CK63" s="22">
        <f>(' Follow Up 1st'!$CB63+' Follow Up 1st'!$CC63)/2</f>
        <v>2.5</v>
      </c>
      <c r="CL63" s="23">
        <f>(' Follow Up 1st'!$CD63+' Follow Up 1st'!$CE63)/2</f>
        <v>22952.5</v>
      </c>
      <c r="CM63" s="24">
        <v>5</v>
      </c>
    </row>
    <row r="64" spans="1:91" ht="18.75" customHeight="1" x14ac:dyDescent="0.55000000000000004">
      <c r="A64" s="10">
        <v>62</v>
      </c>
      <c r="B64" s="25" t="s">
        <v>102</v>
      </c>
      <c r="C64" s="25" t="s">
        <v>100</v>
      </c>
      <c r="D64" s="12">
        <v>5</v>
      </c>
      <c r="E64" s="12">
        <v>5</v>
      </c>
      <c r="F64" s="12">
        <v>5</v>
      </c>
      <c r="G64" s="13">
        <v>5</v>
      </c>
      <c r="H64" s="13">
        <v>5</v>
      </c>
      <c r="I64" s="13">
        <v>5</v>
      </c>
      <c r="J64" s="13">
        <v>5</v>
      </c>
      <c r="K64" s="13">
        <v>5</v>
      </c>
      <c r="L64" s="13">
        <v>5</v>
      </c>
      <c r="M64" s="13">
        <v>5</v>
      </c>
      <c r="N64" s="13">
        <v>5</v>
      </c>
      <c r="O64" s="13">
        <v>5</v>
      </c>
      <c r="P64" s="15">
        <v>5</v>
      </c>
      <c r="Q64" s="12">
        <v>5</v>
      </c>
      <c r="R64" s="12">
        <v>5</v>
      </c>
      <c r="S64" s="13">
        <v>5</v>
      </c>
      <c r="T64" s="14">
        <v>5</v>
      </c>
      <c r="U64" s="14">
        <v>5</v>
      </c>
      <c r="V64" s="14">
        <v>5</v>
      </c>
      <c r="W64" s="14">
        <v>5</v>
      </c>
      <c r="X64" s="15">
        <v>5</v>
      </c>
      <c r="Y64" s="15">
        <v>5</v>
      </c>
      <c r="Z64" s="15">
        <v>5</v>
      </c>
      <c r="AA64" s="15">
        <v>5</v>
      </c>
      <c r="AB64" s="15">
        <v>5</v>
      </c>
      <c r="AC64" s="15">
        <v>5</v>
      </c>
      <c r="AD64" s="15">
        <v>5</v>
      </c>
      <c r="AE64" s="15">
        <v>5</v>
      </c>
      <c r="AF64" s="15">
        <v>5</v>
      </c>
      <c r="AG64" s="15">
        <v>5</v>
      </c>
      <c r="AH64" s="15">
        <v>5</v>
      </c>
      <c r="AI64" s="15">
        <v>5</v>
      </c>
      <c r="AJ64" s="15">
        <v>5</v>
      </c>
      <c r="AK64" s="15">
        <v>5</v>
      </c>
      <c r="AL64" s="15">
        <v>5</v>
      </c>
      <c r="AM64" s="15">
        <v>5</v>
      </c>
      <c r="AN64" s="15">
        <v>5</v>
      </c>
      <c r="AO64" s="15">
        <v>5</v>
      </c>
      <c r="AP64" s="15">
        <v>5</v>
      </c>
      <c r="AQ64" s="15">
        <v>5</v>
      </c>
      <c r="AR64" s="15"/>
      <c r="AS64" s="15"/>
      <c r="AT64" s="15"/>
      <c r="AU64" s="16"/>
      <c r="AV64" s="15"/>
      <c r="AW64" s="15"/>
      <c r="AX64" s="15"/>
      <c r="AY64" s="16"/>
      <c r="AZ64" s="15"/>
      <c r="BA64" s="15"/>
      <c r="BB64" s="15"/>
      <c r="BC64" s="16"/>
      <c r="BD64" s="15"/>
      <c r="BE64" s="15"/>
      <c r="BF64" s="15"/>
      <c r="BG64" s="16"/>
      <c r="BH64" s="15"/>
      <c r="BI64" s="15"/>
      <c r="BJ64" s="15"/>
      <c r="BK64" s="16"/>
      <c r="BL64" s="15"/>
      <c r="BM64" s="15"/>
      <c r="BN64" s="15"/>
      <c r="BO64" s="16"/>
      <c r="BP64" s="15"/>
      <c r="BQ64" s="15"/>
      <c r="BR64" s="15"/>
      <c r="BS64" s="16"/>
      <c r="BT64" s="15"/>
      <c r="BU64" s="15"/>
      <c r="BV64" s="15"/>
      <c r="BW64" s="16"/>
      <c r="BX64" s="15"/>
      <c r="BY64" s="15"/>
      <c r="BZ64" s="15"/>
      <c r="CA64" s="17"/>
      <c r="CB64" s="19">
        <v>5</v>
      </c>
      <c r="CC64" s="19"/>
      <c r="CD64" s="18">
        <v>45905</v>
      </c>
      <c r="CE64" s="19"/>
      <c r="CF64" s="20">
        <v>5</v>
      </c>
      <c r="CG64" s="21">
        <f t="shared" ref="CG64:CJ64" si="61">AVERAGE(BX64,BT64,BP64,BL64,BH64,BD64,AZ64,AV64,AR64,AN64,AJ64,AF64,AB64,X64,T64,P64,L64,H64,D64)</f>
        <v>5</v>
      </c>
      <c r="CH64" s="22">
        <f t="shared" si="61"/>
        <v>5</v>
      </c>
      <c r="CI64" s="22">
        <f t="shared" si="61"/>
        <v>5</v>
      </c>
      <c r="CJ64" s="22">
        <f t="shared" si="61"/>
        <v>5</v>
      </c>
      <c r="CK64" s="22">
        <f>(' Follow Up 1st'!$CB64+' Follow Up 1st'!$CC64)/2</f>
        <v>2.5</v>
      </c>
      <c r="CL64" s="23">
        <f>(' Follow Up 1st'!$CD64+' Follow Up 1st'!$CE64)/2</f>
        <v>22952.5</v>
      </c>
      <c r="CM64" s="24">
        <v>5</v>
      </c>
    </row>
    <row r="65" spans="1:91" ht="18.75" customHeight="1" x14ac:dyDescent="0.55000000000000004">
      <c r="A65" s="10">
        <v>63</v>
      </c>
      <c r="B65" s="25" t="s">
        <v>103</v>
      </c>
      <c r="C65" s="25" t="s">
        <v>100</v>
      </c>
      <c r="D65" s="12">
        <v>5</v>
      </c>
      <c r="E65" s="12">
        <v>5</v>
      </c>
      <c r="F65" s="12">
        <v>5</v>
      </c>
      <c r="G65" s="13">
        <v>5</v>
      </c>
      <c r="H65" s="13">
        <v>5</v>
      </c>
      <c r="I65" s="13">
        <v>5</v>
      </c>
      <c r="J65" s="13">
        <v>5</v>
      </c>
      <c r="K65" s="13">
        <v>5</v>
      </c>
      <c r="L65" s="13">
        <v>5</v>
      </c>
      <c r="M65" s="13">
        <v>5</v>
      </c>
      <c r="N65" s="13">
        <v>3</v>
      </c>
      <c r="O65" s="13">
        <v>5</v>
      </c>
      <c r="P65" s="15">
        <v>5</v>
      </c>
      <c r="Q65" s="12">
        <v>5</v>
      </c>
      <c r="R65" s="12">
        <v>5</v>
      </c>
      <c r="S65" s="13">
        <v>5</v>
      </c>
      <c r="T65" s="14">
        <v>5</v>
      </c>
      <c r="U65" s="14">
        <v>5</v>
      </c>
      <c r="V65" s="14">
        <v>5</v>
      </c>
      <c r="W65" s="14">
        <v>5</v>
      </c>
      <c r="X65" s="15">
        <v>5</v>
      </c>
      <c r="Y65" s="15">
        <v>5</v>
      </c>
      <c r="Z65" s="15">
        <v>5</v>
      </c>
      <c r="AA65" s="15">
        <v>5</v>
      </c>
      <c r="AB65" s="15">
        <v>5</v>
      </c>
      <c r="AC65" s="15">
        <v>5</v>
      </c>
      <c r="AD65" s="15">
        <v>5</v>
      </c>
      <c r="AE65" s="15">
        <v>5</v>
      </c>
      <c r="AF65" s="15">
        <v>5</v>
      </c>
      <c r="AG65" s="15">
        <v>5</v>
      </c>
      <c r="AH65" s="15">
        <v>5</v>
      </c>
      <c r="AI65" s="15">
        <v>5</v>
      </c>
      <c r="AJ65" s="15">
        <v>5</v>
      </c>
      <c r="AK65" s="15">
        <v>5</v>
      </c>
      <c r="AL65" s="15">
        <v>5</v>
      </c>
      <c r="AM65" s="15">
        <v>5</v>
      </c>
      <c r="AN65" s="15">
        <v>5</v>
      </c>
      <c r="AO65" s="15">
        <v>5</v>
      </c>
      <c r="AP65" s="15">
        <v>5</v>
      </c>
      <c r="AQ65" s="15">
        <v>5</v>
      </c>
      <c r="AR65" s="15"/>
      <c r="AS65" s="15"/>
      <c r="AT65" s="15"/>
      <c r="AU65" s="16"/>
      <c r="AV65" s="15"/>
      <c r="AW65" s="15"/>
      <c r="AX65" s="15"/>
      <c r="AY65" s="16"/>
      <c r="AZ65" s="15"/>
      <c r="BA65" s="15"/>
      <c r="BB65" s="15"/>
      <c r="BC65" s="16"/>
      <c r="BD65" s="15"/>
      <c r="BE65" s="15"/>
      <c r="BF65" s="15"/>
      <c r="BG65" s="16"/>
      <c r="BH65" s="15"/>
      <c r="BI65" s="15"/>
      <c r="BJ65" s="15"/>
      <c r="BK65" s="16"/>
      <c r="BL65" s="15"/>
      <c r="BM65" s="15"/>
      <c r="BN65" s="15"/>
      <c r="BO65" s="16"/>
      <c r="BP65" s="15"/>
      <c r="BQ65" s="15"/>
      <c r="BR65" s="15"/>
      <c r="BS65" s="16"/>
      <c r="BT65" s="15"/>
      <c r="BU65" s="15"/>
      <c r="BV65" s="15"/>
      <c r="BW65" s="16"/>
      <c r="BX65" s="15"/>
      <c r="BY65" s="15"/>
      <c r="BZ65" s="15"/>
      <c r="CA65" s="17"/>
      <c r="CB65" s="19">
        <v>5</v>
      </c>
      <c r="CC65" s="19"/>
      <c r="CD65" s="19">
        <v>9</v>
      </c>
      <c r="CE65" s="19"/>
      <c r="CF65" s="20">
        <v>5</v>
      </c>
      <c r="CG65" s="21">
        <f t="shared" ref="CG65:CJ65" si="62">AVERAGE(BX65,BT65,BP65,BL65,BH65,BD65,AZ65,AV65,AR65,AN65,AJ65,AF65,AB65,X65,T65,P65,L65,H65,D65)</f>
        <v>5</v>
      </c>
      <c r="CH65" s="22">
        <f t="shared" si="62"/>
        <v>5</v>
      </c>
      <c r="CI65" s="22">
        <f t="shared" si="62"/>
        <v>4.8</v>
      </c>
      <c r="CJ65" s="22">
        <f t="shared" si="62"/>
        <v>5</v>
      </c>
      <c r="CK65" s="22">
        <f>(' Follow Up 1st'!$CB65+' Follow Up 1st'!$CC65)/2</f>
        <v>2.5</v>
      </c>
      <c r="CL65" s="22">
        <f>(' Follow Up 1st'!$CD65+' Follow Up 1st'!$CE65)/2</f>
        <v>4.5</v>
      </c>
      <c r="CM65" s="24">
        <v>5</v>
      </c>
    </row>
    <row r="66" spans="1:91" ht="18.75" customHeight="1" x14ac:dyDescent="0.55000000000000004">
      <c r="A66" s="10">
        <v>64</v>
      </c>
      <c r="B66" s="25" t="s">
        <v>104</v>
      </c>
      <c r="C66" s="25" t="s">
        <v>100</v>
      </c>
      <c r="D66" s="12">
        <v>5</v>
      </c>
      <c r="E66" s="12">
        <v>5</v>
      </c>
      <c r="F66" s="12">
        <v>5</v>
      </c>
      <c r="G66" s="13">
        <v>5</v>
      </c>
      <c r="H66" s="13">
        <v>5</v>
      </c>
      <c r="I66" s="13">
        <v>5</v>
      </c>
      <c r="J66" s="13">
        <v>5</v>
      </c>
      <c r="K66" s="13">
        <v>5</v>
      </c>
      <c r="L66" s="15">
        <v>5</v>
      </c>
      <c r="M66" s="15">
        <v>5</v>
      </c>
      <c r="N66" s="15">
        <v>5</v>
      </c>
      <c r="O66" s="15">
        <v>5</v>
      </c>
      <c r="P66" s="15">
        <v>5</v>
      </c>
      <c r="Q66" s="12">
        <v>5</v>
      </c>
      <c r="R66" s="12">
        <v>5</v>
      </c>
      <c r="S66" s="13">
        <v>5</v>
      </c>
      <c r="T66" s="14">
        <v>5</v>
      </c>
      <c r="U66" s="14">
        <v>5</v>
      </c>
      <c r="V66" s="14">
        <v>5</v>
      </c>
      <c r="W66" s="14">
        <v>5</v>
      </c>
      <c r="X66" s="15">
        <v>5</v>
      </c>
      <c r="Y66" s="15">
        <v>5</v>
      </c>
      <c r="Z66" s="15">
        <v>5</v>
      </c>
      <c r="AA66" s="15">
        <v>5</v>
      </c>
      <c r="AB66" s="15">
        <v>5</v>
      </c>
      <c r="AC66" s="15">
        <v>5</v>
      </c>
      <c r="AD66" s="15">
        <v>5</v>
      </c>
      <c r="AE66" s="15">
        <v>5</v>
      </c>
      <c r="AF66" s="15">
        <v>5</v>
      </c>
      <c r="AG66" s="15">
        <v>5</v>
      </c>
      <c r="AH66" s="15">
        <v>5</v>
      </c>
      <c r="AI66" s="15">
        <v>5</v>
      </c>
      <c r="AJ66" s="15">
        <v>5</v>
      </c>
      <c r="AK66" s="15">
        <v>5</v>
      </c>
      <c r="AL66" s="15">
        <v>5</v>
      </c>
      <c r="AM66" s="15">
        <v>5</v>
      </c>
      <c r="AN66" s="15">
        <v>5</v>
      </c>
      <c r="AO66" s="15">
        <v>5</v>
      </c>
      <c r="AP66" s="15">
        <v>5</v>
      </c>
      <c r="AQ66" s="15">
        <v>5</v>
      </c>
      <c r="AR66" s="15"/>
      <c r="AS66" s="15"/>
      <c r="AT66" s="15"/>
      <c r="AU66" s="16"/>
      <c r="AV66" s="15"/>
      <c r="AW66" s="15"/>
      <c r="AX66" s="15"/>
      <c r="AY66" s="16"/>
      <c r="AZ66" s="15"/>
      <c r="BA66" s="15"/>
      <c r="BB66" s="15"/>
      <c r="BC66" s="16"/>
      <c r="BD66" s="15"/>
      <c r="BE66" s="15"/>
      <c r="BF66" s="15"/>
      <c r="BG66" s="16"/>
      <c r="BH66" s="15"/>
      <c r="BI66" s="15"/>
      <c r="BJ66" s="15"/>
      <c r="BK66" s="16"/>
      <c r="BL66" s="15"/>
      <c r="BM66" s="15"/>
      <c r="BN66" s="15"/>
      <c r="BO66" s="16"/>
      <c r="BP66" s="15"/>
      <c r="BQ66" s="15"/>
      <c r="BR66" s="15"/>
      <c r="BS66" s="16"/>
      <c r="BT66" s="15"/>
      <c r="BU66" s="15"/>
      <c r="BV66" s="15"/>
      <c r="BW66" s="16"/>
      <c r="BX66" s="15"/>
      <c r="BY66" s="15"/>
      <c r="BZ66" s="15"/>
      <c r="CA66" s="17"/>
      <c r="CB66" s="19">
        <v>4</v>
      </c>
      <c r="CC66" s="19"/>
      <c r="CD66" s="18">
        <v>45874</v>
      </c>
      <c r="CE66" s="19"/>
      <c r="CF66" s="20">
        <v>5</v>
      </c>
      <c r="CG66" s="21">
        <f t="shared" ref="CG66:CJ66" si="63">AVERAGE(BX66,BT66,BP66,BL66,BH66,BD66,AZ66,AV66,AR66,AN66,AJ66,AF66,AB66,X66,T66,P66,L66,H66,D66)</f>
        <v>5</v>
      </c>
      <c r="CH66" s="22">
        <f t="shared" si="63"/>
        <v>5</v>
      </c>
      <c r="CI66" s="22">
        <f t="shared" si="63"/>
        <v>5</v>
      </c>
      <c r="CJ66" s="22">
        <f t="shared" si="63"/>
        <v>5</v>
      </c>
      <c r="CK66" s="22">
        <f>(' Follow Up 1st'!$CB66+' Follow Up 1st'!$CC66)/2</f>
        <v>2</v>
      </c>
      <c r="CL66" s="23">
        <f>(' Follow Up 1st'!$CD66+' Follow Up 1st'!$CE66)/2</f>
        <v>22937</v>
      </c>
      <c r="CM66" s="24">
        <v>5</v>
      </c>
    </row>
    <row r="67" spans="1:91" ht="18.75" customHeight="1" x14ac:dyDescent="0.55000000000000004">
      <c r="A67" s="10">
        <v>65</v>
      </c>
      <c r="B67" s="25" t="s">
        <v>105</v>
      </c>
      <c r="C67" s="25" t="s">
        <v>100</v>
      </c>
      <c r="D67" s="12">
        <v>5</v>
      </c>
      <c r="E67" s="12">
        <v>5</v>
      </c>
      <c r="F67" s="12">
        <v>5</v>
      </c>
      <c r="G67" s="13">
        <v>5</v>
      </c>
      <c r="H67" s="13">
        <v>5</v>
      </c>
      <c r="I67" s="13">
        <v>5</v>
      </c>
      <c r="J67" s="13">
        <v>5</v>
      </c>
      <c r="K67" s="13">
        <v>5</v>
      </c>
      <c r="L67" s="15">
        <v>5</v>
      </c>
      <c r="M67" s="15">
        <v>3</v>
      </c>
      <c r="N67" s="15">
        <v>3</v>
      </c>
      <c r="O67" s="16">
        <v>0</v>
      </c>
      <c r="P67" s="15">
        <v>3</v>
      </c>
      <c r="Q67" s="12">
        <v>5</v>
      </c>
      <c r="R67" s="12">
        <v>5</v>
      </c>
      <c r="S67" s="13">
        <v>5</v>
      </c>
      <c r="T67" s="14">
        <v>5</v>
      </c>
      <c r="U67" s="14">
        <v>5</v>
      </c>
      <c r="V67" s="14">
        <v>5</v>
      </c>
      <c r="W67" s="14">
        <v>5</v>
      </c>
      <c r="X67" s="15">
        <v>5</v>
      </c>
      <c r="Y67" s="15">
        <v>5</v>
      </c>
      <c r="Z67" s="15">
        <v>5</v>
      </c>
      <c r="AA67" s="15">
        <v>5</v>
      </c>
      <c r="AB67" s="15">
        <v>5</v>
      </c>
      <c r="AC67" s="15">
        <v>5</v>
      </c>
      <c r="AD67" s="15">
        <v>5</v>
      </c>
      <c r="AE67" s="15">
        <v>5</v>
      </c>
      <c r="AF67" s="15">
        <v>5</v>
      </c>
      <c r="AG67" s="15">
        <v>5</v>
      </c>
      <c r="AH67" s="15">
        <v>5</v>
      </c>
      <c r="AI67" s="15">
        <v>5</v>
      </c>
      <c r="AJ67" s="15">
        <v>5</v>
      </c>
      <c r="AK67" s="15">
        <v>5</v>
      </c>
      <c r="AL67" s="15">
        <v>5</v>
      </c>
      <c r="AM67" s="15">
        <v>5</v>
      </c>
      <c r="AN67" s="15">
        <v>5</v>
      </c>
      <c r="AO67" s="15">
        <v>5</v>
      </c>
      <c r="AP67" s="15">
        <v>5</v>
      </c>
      <c r="AQ67" s="15">
        <v>5</v>
      </c>
      <c r="AR67" s="15"/>
      <c r="AS67" s="15"/>
      <c r="AT67" s="15"/>
      <c r="AU67" s="16"/>
      <c r="AV67" s="15"/>
      <c r="AW67" s="15"/>
      <c r="AX67" s="15"/>
      <c r="AY67" s="16"/>
      <c r="AZ67" s="15"/>
      <c r="BA67" s="15"/>
      <c r="BB67" s="15"/>
      <c r="BC67" s="16"/>
      <c r="BD67" s="15"/>
      <c r="BE67" s="15"/>
      <c r="BF67" s="15"/>
      <c r="BG67" s="16"/>
      <c r="BH67" s="15"/>
      <c r="BI67" s="15"/>
      <c r="BJ67" s="15"/>
      <c r="BK67" s="16"/>
      <c r="BL67" s="15"/>
      <c r="BM67" s="15"/>
      <c r="BN67" s="15"/>
      <c r="BO67" s="16"/>
      <c r="BP67" s="15"/>
      <c r="BQ67" s="15"/>
      <c r="BR67" s="15"/>
      <c r="BS67" s="16"/>
      <c r="BT67" s="15"/>
      <c r="BU67" s="15"/>
      <c r="BV67" s="15"/>
      <c r="BW67" s="16"/>
      <c r="BX67" s="15"/>
      <c r="BY67" s="15"/>
      <c r="BZ67" s="15"/>
      <c r="CA67" s="17"/>
      <c r="CB67" s="19">
        <v>3</v>
      </c>
      <c r="CC67" s="19"/>
      <c r="CD67" s="19">
        <v>8</v>
      </c>
      <c r="CE67" s="19"/>
      <c r="CF67" s="20">
        <v>5</v>
      </c>
      <c r="CG67" s="21">
        <f t="shared" ref="CG67:CJ67" si="64">AVERAGE(BX67,BT67,BP67,BL67,BH67,BD67,AZ67,AV67,AR67,AN67,AJ67,AF67,AB67,X67,T67,P67,L67,H67,D67)</f>
        <v>4.8</v>
      </c>
      <c r="CH67" s="22">
        <f t="shared" si="64"/>
        <v>4.8</v>
      </c>
      <c r="CI67" s="22">
        <f t="shared" si="64"/>
        <v>4.8</v>
      </c>
      <c r="CJ67" s="22">
        <f t="shared" si="64"/>
        <v>4.5</v>
      </c>
      <c r="CK67" s="22">
        <f>(' Follow Up 1st'!$CB67+' Follow Up 1st'!$CC67)/2</f>
        <v>1.5</v>
      </c>
      <c r="CL67" s="22">
        <f>(' Follow Up 1st'!$CD67+' Follow Up 1st'!$CE67)/2</f>
        <v>4</v>
      </c>
      <c r="CM67" s="24">
        <v>5</v>
      </c>
    </row>
    <row r="68" spans="1:91" ht="18.75" customHeight="1" x14ac:dyDescent="0.55000000000000004">
      <c r="A68" s="10">
        <v>66</v>
      </c>
      <c r="B68" s="25" t="s">
        <v>106</v>
      </c>
      <c r="C68" s="25" t="s">
        <v>100</v>
      </c>
      <c r="D68" s="12">
        <v>5</v>
      </c>
      <c r="E68" s="12">
        <v>5</v>
      </c>
      <c r="F68" s="12">
        <v>5</v>
      </c>
      <c r="G68" s="13">
        <v>5</v>
      </c>
      <c r="H68" s="13">
        <v>5</v>
      </c>
      <c r="I68" s="13">
        <v>5</v>
      </c>
      <c r="J68" s="13">
        <v>5</v>
      </c>
      <c r="K68" s="13">
        <v>5</v>
      </c>
      <c r="L68" s="15">
        <v>5</v>
      </c>
      <c r="M68" s="15">
        <v>3</v>
      </c>
      <c r="N68" s="15">
        <v>3</v>
      </c>
      <c r="O68" s="16">
        <v>5</v>
      </c>
      <c r="P68" s="15">
        <v>5</v>
      </c>
      <c r="Q68" s="12">
        <v>5</v>
      </c>
      <c r="R68" s="12">
        <v>5</v>
      </c>
      <c r="S68" s="13">
        <v>5</v>
      </c>
      <c r="T68" s="14">
        <v>5</v>
      </c>
      <c r="U68" s="14">
        <v>5</v>
      </c>
      <c r="V68" s="14">
        <v>5</v>
      </c>
      <c r="W68" s="14">
        <v>5</v>
      </c>
      <c r="X68" s="15">
        <v>5</v>
      </c>
      <c r="Y68" s="15">
        <v>5</v>
      </c>
      <c r="Z68" s="15">
        <v>5</v>
      </c>
      <c r="AA68" s="15">
        <v>5</v>
      </c>
      <c r="AB68" s="15">
        <v>5</v>
      </c>
      <c r="AC68" s="15">
        <v>5</v>
      </c>
      <c r="AD68" s="15">
        <v>5</v>
      </c>
      <c r="AE68" s="15">
        <v>5</v>
      </c>
      <c r="AF68" s="15">
        <v>5</v>
      </c>
      <c r="AG68" s="15">
        <v>5</v>
      </c>
      <c r="AH68" s="15">
        <v>5</v>
      </c>
      <c r="AI68" s="15">
        <v>5</v>
      </c>
      <c r="AJ68" s="15">
        <v>5</v>
      </c>
      <c r="AK68" s="15">
        <v>5</v>
      </c>
      <c r="AL68" s="15">
        <v>5</v>
      </c>
      <c r="AM68" s="15">
        <v>5</v>
      </c>
      <c r="AN68" s="15">
        <v>5</v>
      </c>
      <c r="AO68" s="15">
        <v>5</v>
      </c>
      <c r="AP68" s="15">
        <v>5</v>
      </c>
      <c r="AQ68" s="15">
        <v>5</v>
      </c>
      <c r="AR68" s="15"/>
      <c r="AS68" s="15"/>
      <c r="AT68" s="15"/>
      <c r="AU68" s="16"/>
      <c r="AV68" s="15"/>
      <c r="AW68" s="15"/>
      <c r="AX68" s="15"/>
      <c r="AY68" s="16"/>
      <c r="AZ68" s="15"/>
      <c r="BA68" s="15"/>
      <c r="BB68" s="15"/>
      <c r="BC68" s="16"/>
      <c r="BD68" s="15"/>
      <c r="BE68" s="15"/>
      <c r="BF68" s="15"/>
      <c r="BG68" s="16"/>
      <c r="BH68" s="15"/>
      <c r="BI68" s="15"/>
      <c r="BJ68" s="15"/>
      <c r="BK68" s="16"/>
      <c r="BL68" s="15"/>
      <c r="BM68" s="15"/>
      <c r="BN68" s="15"/>
      <c r="BO68" s="16"/>
      <c r="BP68" s="15"/>
      <c r="BQ68" s="15"/>
      <c r="BR68" s="15"/>
      <c r="BS68" s="16"/>
      <c r="BT68" s="15"/>
      <c r="BU68" s="15"/>
      <c r="BV68" s="15"/>
      <c r="BW68" s="16"/>
      <c r="BX68" s="15"/>
      <c r="BY68" s="15"/>
      <c r="BZ68" s="15"/>
      <c r="CA68" s="17"/>
      <c r="CB68" s="19">
        <v>5</v>
      </c>
      <c r="CC68" s="19"/>
      <c r="CD68" s="18">
        <v>45905</v>
      </c>
      <c r="CE68" s="19"/>
      <c r="CF68" s="20">
        <v>5</v>
      </c>
      <c r="CG68" s="21">
        <f t="shared" ref="CG68:CJ68" si="65">AVERAGE(BX68,BT68,BP68,BL68,BH68,BD68,AZ68,AV68,AR68,AN68,AJ68,AF68,AB68,X68,T68,P68,L68,H68,D68)</f>
        <v>5</v>
      </c>
      <c r="CH68" s="22">
        <f t="shared" si="65"/>
        <v>4.8</v>
      </c>
      <c r="CI68" s="22">
        <f t="shared" si="65"/>
        <v>4.8</v>
      </c>
      <c r="CJ68" s="22">
        <f t="shared" si="65"/>
        <v>5</v>
      </c>
      <c r="CK68" s="22">
        <f>(' Follow Up 1st'!$CB68+' Follow Up 1st'!$CC68)/2</f>
        <v>2.5</v>
      </c>
      <c r="CL68" s="23">
        <f>(' Follow Up 1st'!$CD68+' Follow Up 1st'!$CE68)/2</f>
        <v>22952.5</v>
      </c>
      <c r="CM68" s="24">
        <v>5</v>
      </c>
    </row>
    <row r="69" spans="1:91" ht="18.75" customHeight="1" x14ac:dyDescent="0.55000000000000004">
      <c r="A69" s="10">
        <v>67</v>
      </c>
      <c r="B69" s="25" t="s">
        <v>107</v>
      </c>
      <c r="C69" s="25" t="s">
        <v>100</v>
      </c>
      <c r="D69" s="12">
        <v>5</v>
      </c>
      <c r="E69" s="12">
        <v>5</v>
      </c>
      <c r="F69" s="12">
        <v>5</v>
      </c>
      <c r="G69" s="13">
        <v>5</v>
      </c>
      <c r="H69" s="13">
        <v>5</v>
      </c>
      <c r="I69" s="13">
        <v>5</v>
      </c>
      <c r="J69" s="13">
        <v>5</v>
      </c>
      <c r="K69" s="13">
        <v>5</v>
      </c>
      <c r="L69" s="15">
        <v>5</v>
      </c>
      <c r="M69" s="15">
        <v>3</v>
      </c>
      <c r="N69" s="15">
        <v>3</v>
      </c>
      <c r="O69" s="16">
        <v>5</v>
      </c>
      <c r="P69" s="15">
        <v>5</v>
      </c>
      <c r="Q69" s="12">
        <v>5</v>
      </c>
      <c r="R69" s="12">
        <v>5</v>
      </c>
      <c r="S69" s="13">
        <v>5</v>
      </c>
      <c r="T69" s="14">
        <v>5</v>
      </c>
      <c r="U69" s="14">
        <v>5</v>
      </c>
      <c r="V69" s="14">
        <v>5</v>
      </c>
      <c r="W69" s="14">
        <v>5</v>
      </c>
      <c r="X69" s="15">
        <v>5</v>
      </c>
      <c r="Y69" s="15">
        <v>5</v>
      </c>
      <c r="Z69" s="15">
        <v>5</v>
      </c>
      <c r="AA69" s="15">
        <v>5</v>
      </c>
      <c r="AB69" s="15">
        <v>5</v>
      </c>
      <c r="AC69" s="15">
        <v>5</v>
      </c>
      <c r="AD69" s="15">
        <v>5</v>
      </c>
      <c r="AE69" s="15">
        <v>5</v>
      </c>
      <c r="AF69" s="15">
        <v>5</v>
      </c>
      <c r="AG69" s="15">
        <v>5</v>
      </c>
      <c r="AH69" s="15">
        <v>5</v>
      </c>
      <c r="AI69" s="15">
        <v>5</v>
      </c>
      <c r="AJ69" s="15">
        <v>5</v>
      </c>
      <c r="AK69" s="15">
        <v>5</v>
      </c>
      <c r="AL69" s="15">
        <v>5</v>
      </c>
      <c r="AM69" s="15">
        <v>5</v>
      </c>
      <c r="AN69" s="15">
        <v>5</v>
      </c>
      <c r="AO69" s="15">
        <v>5</v>
      </c>
      <c r="AP69" s="15">
        <v>5</v>
      </c>
      <c r="AQ69" s="15">
        <v>5</v>
      </c>
      <c r="AR69" s="15"/>
      <c r="AS69" s="15"/>
      <c r="AT69" s="15"/>
      <c r="AU69" s="16"/>
      <c r="AV69" s="15"/>
      <c r="AW69" s="15"/>
      <c r="AX69" s="15"/>
      <c r="AY69" s="16"/>
      <c r="AZ69" s="15"/>
      <c r="BA69" s="15"/>
      <c r="BB69" s="15"/>
      <c r="BC69" s="16"/>
      <c r="BD69" s="15"/>
      <c r="BE69" s="15"/>
      <c r="BF69" s="15"/>
      <c r="BG69" s="16"/>
      <c r="BH69" s="15"/>
      <c r="BI69" s="15"/>
      <c r="BJ69" s="15"/>
      <c r="BK69" s="16"/>
      <c r="BL69" s="15"/>
      <c r="BM69" s="15"/>
      <c r="BN69" s="15"/>
      <c r="BO69" s="16"/>
      <c r="BP69" s="15"/>
      <c r="BQ69" s="15"/>
      <c r="BR69" s="15"/>
      <c r="BS69" s="16"/>
      <c r="BT69" s="15"/>
      <c r="BU69" s="15"/>
      <c r="BV69" s="15"/>
      <c r="BW69" s="16"/>
      <c r="BX69" s="15"/>
      <c r="BY69" s="15"/>
      <c r="BZ69" s="15"/>
      <c r="CA69" s="17"/>
      <c r="CB69" s="19">
        <v>5</v>
      </c>
      <c r="CC69" s="19"/>
      <c r="CD69" s="19">
        <v>8</v>
      </c>
      <c r="CE69" s="19"/>
      <c r="CF69" s="20">
        <v>5</v>
      </c>
      <c r="CG69" s="21">
        <f t="shared" ref="CG69:CJ69" si="66">AVERAGE(BX69,BT69,BP69,BL69,BH69,BD69,AZ69,AV69,AR69,AN69,AJ69,AF69,AB69,X69,T69,P69,L69,H69,D69)</f>
        <v>5</v>
      </c>
      <c r="CH69" s="22">
        <f t="shared" si="66"/>
        <v>4.8</v>
      </c>
      <c r="CI69" s="22">
        <f t="shared" si="66"/>
        <v>4.8</v>
      </c>
      <c r="CJ69" s="22">
        <f t="shared" si="66"/>
        <v>5</v>
      </c>
      <c r="CK69" s="22">
        <f>(' Follow Up 1st'!$CB69+' Follow Up 1st'!$CC69)/2</f>
        <v>2.5</v>
      </c>
      <c r="CL69" s="22">
        <f>(' Follow Up 1st'!$CD69+' Follow Up 1st'!$CE69)/2</f>
        <v>4</v>
      </c>
      <c r="CM69" s="24">
        <v>5</v>
      </c>
    </row>
    <row r="70" spans="1:91" ht="18.75" customHeight="1" x14ac:dyDescent="0.55000000000000004">
      <c r="A70" s="10">
        <v>68</v>
      </c>
      <c r="B70" s="25" t="s">
        <v>108</v>
      </c>
      <c r="C70" s="25" t="s">
        <v>100</v>
      </c>
      <c r="D70" s="12">
        <v>5</v>
      </c>
      <c r="E70" s="12">
        <v>5</v>
      </c>
      <c r="F70" s="12">
        <v>5</v>
      </c>
      <c r="G70" s="13">
        <v>5</v>
      </c>
      <c r="H70" s="13">
        <v>5</v>
      </c>
      <c r="I70" s="13">
        <v>5</v>
      </c>
      <c r="J70" s="13">
        <v>5</v>
      </c>
      <c r="K70" s="13">
        <v>5</v>
      </c>
      <c r="L70" s="15">
        <v>5</v>
      </c>
      <c r="M70" s="15">
        <v>5</v>
      </c>
      <c r="N70" s="15">
        <v>5</v>
      </c>
      <c r="O70" s="16">
        <v>5</v>
      </c>
      <c r="P70" s="15">
        <v>5</v>
      </c>
      <c r="Q70" s="12">
        <v>5</v>
      </c>
      <c r="R70" s="12">
        <v>5</v>
      </c>
      <c r="S70" s="13">
        <v>5</v>
      </c>
      <c r="T70" s="14">
        <v>5</v>
      </c>
      <c r="U70" s="14">
        <v>5</v>
      </c>
      <c r="V70" s="14">
        <v>5</v>
      </c>
      <c r="W70" s="14">
        <v>5</v>
      </c>
      <c r="X70" s="15">
        <v>5</v>
      </c>
      <c r="Y70" s="15">
        <v>5</v>
      </c>
      <c r="Z70" s="15">
        <v>5</v>
      </c>
      <c r="AA70" s="15">
        <v>5</v>
      </c>
      <c r="AB70" s="15">
        <v>5</v>
      </c>
      <c r="AC70" s="15">
        <v>5</v>
      </c>
      <c r="AD70" s="15">
        <v>5</v>
      </c>
      <c r="AE70" s="15">
        <v>5</v>
      </c>
      <c r="AF70" s="15">
        <v>5</v>
      </c>
      <c r="AG70" s="15">
        <v>5</v>
      </c>
      <c r="AH70" s="15">
        <v>5</v>
      </c>
      <c r="AI70" s="15">
        <v>5</v>
      </c>
      <c r="AJ70" s="15">
        <v>5</v>
      </c>
      <c r="AK70" s="15">
        <v>5</v>
      </c>
      <c r="AL70" s="15">
        <v>5</v>
      </c>
      <c r="AM70" s="15">
        <v>5</v>
      </c>
      <c r="AN70" s="15">
        <v>5</v>
      </c>
      <c r="AO70" s="15">
        <v>5</v>
      </c>
      <c r="AP70" s="15">
        <v>5</v>
      </c>
      <c r="AQ70" s="15">
        <v>5</v>
      </c>
      <c r="AR70" s="15"/>
      <c r="AS70" s="15"/>
      <c r="AT70" s="15"/>
      <c r="AU70" s="16"/>
      <c r="AV70" s="15"/>
      <c r="AW70" s="15"/>
      <c r="AX70" s="15"/>
      <c r="AY70" s="16"/>
      <c r="AZ70" s="15"/>
      <c r="BA70" s="15"/>
      <c r="BB70" s="15"/>
      <c r="BC70" s="16"/>
      <c r="BD70" s="15"/>
      <c r="BE70" s="15"/>
      <c r="BF70" s="15"/>
      <c r="BG70" s="16"/>
      <c r="BH70" s="15"/>
      <c r="BI70" s="15"/>
      <c r="BJ70" s="15"/>
      <c r="BK70" s="16"/>
      <c r="BL70" s="15"/>
      <c r="BM70" s="15"/>
      <c r="BN70" s="15"/>
      <c r="BO70" s="16"/>
      <c r="BP70" s="15"/>
      <c r="BQ70" s="15"/>
      <c r="BR70" s="15"/>
      <c r="BS70" s="16"/>
      <c r="BT70" s="15"/>
      <c r="BU70" s="15"/>
      <c r="BV70" s="15"/>
      <c r="BW70" s="16"/>
      <c r="BX70" s="15"/>
      <c r="BY70" s="15"/>
      <c r="BZ70" s="15"/>
      <c r="CA70" s="17"/>
      <c r="CB70" s="19">
        <v>5</v>
      </c>
      <c r="CC70" s="19"/>
      <c r="CD70" s="18">
        <v>45905</v>
      </c>
      <c r="CE70" s="19"/>
      <c r="CF70" s="20">
        <v>5</v>
      </c>
      <c r="CG70" s="21">
        <f t="shared" ref="CG70:CJ70" si="67">AVERAGE(BX70,BT70,BP70,BL70,BH70,BD70,AZ70,AV70,AR70,AN70,AJ70,AF70,AB70,X70,T70,P70,L70,H70,D70)</f>
        <v>5</v>
      </c>
      <c r="CH70" s="22">
        <f t="shared" si="67"/>
        <v>5</v>
      </c>
      <c r="CI70" s="22">
        <f t="shared" si="67"/>
        <v>5</v>
      </c>
      <c r="CJ70" s="22">
        <f t="shared" si="67"/>
        <v>5</v>
      </c>
      <c r="CK70" s="22">
        <f>(' Follow Up 1st'!$CB70+' Follow Up 1st'!$CC70)/2</f>
        <v>2.5</v>
      </c>
      <c r="CL70" s="23">
        <f>(' Follow Up 1st'!$CD70+' Follow Up 1st'!$CE70)/2</f>
        <v>22952.5</v>
      </c>
      <c r="CM70" s="24">
        <v>5</v>
      </c>
    </row>
    <row r="71" spans="1:91" ht="18.75" customHeight="1" x14ac:dyDescent="0.55000000000000004">
      <c r="A71" s="10">
        <v>69</v>
      </c>
      <c r="B71" s="25" t="s">
        <v>109</v>
      </c>
      <c r="C71" s="25" t="s">
        <v>100</v>
      </c>
      <c r="D71" s="12">
        <v>5</v>
      </c>
      <c r="E71" s="12">
        <v>5</v>
      </c>
      <c r="F71" s="12">
        <v>5</v>
      </c>
      <c r="G71" s="13">
        <v>5</v>
      </c>
      <c r="H71" s="13">
        <v>5</v>
      </c>
      <c r="I71" s="13">
        <v>5</v>
      </c>
      <c r="J71" s="13">
        <v>5</v>
      </c>
      <c r="K71" s="13">
        <v>5</v>
      </c>
      <c r="L71" s="15">
        <v>5</v>
      </c>
      <c r="M71" s="15">
        <v>5</v>
      </c>
      <c r="N71" s="15">
        <v>5</v>
      </c>
      <c r="O71" s="16">
        <v>5</v>
      </c>
      <c r="P71" s="15">
        <v>5</v>
      </c>
      <c r="Q71" s="12">
        <v>5</v>
      </c>
      <c r="R71" s="12">
        <v>5</v>
      </c>
      <c r="S71" s="13">
        <v>5</v>
      </c>
      <c r="T71" s="14">
        <v>5</v>
      </c>
      <c r="U71" s="14">
        <v>5</v>
      </c>
      <c r="V71" s="14">
        <v>5</v>
      </c>
      <c r="W71" s="14">
        <v>5</v>
      </c>
      <c r="X71" s="15">
        <v>5</v>
      </c>
      <c r="Y71" s="15">
        <v>5</v>
      </c>
      <c r="Z71" s="15">
        <v>5</v>
      </c>
      <c r="AA71" s="15">
        <v>5</v>
      </c>
      <c r="AB71" s="15">
        <v>5</v>
      </c>
      <c r="AC71" s="15">
        <v>5</v>
      </c>
      <c r="AD71" s="15">
        <v>5</v>
      </c>
      <c r="AE71" s="15">
        <v>5</v>
      </c>
      <c r="AF71" s="15">
        <v>5</v>
      </c>
      <c r="AG71" s="15">
        <v>5</v>
      </c>
      <c r="AH71" s="15">
        <v>5</v>
      </c>
      <c r="AI71" s="15">
        <v>5</v>
      </c>
      <c r="AJ71" s="15">
        <v>5</v>
      </c>
      <c r="AK71" s="15">
        <v>5</v>
      </c>
      <c r="AL71" s="15">
        <v>5</v>
      </c>
      <c r="AM71" s="15">
        <v>5</v>
      </c>
      <c r="AN71" s="15">
        <v>5</v>
      </c>
      <c r="AO71" s="15">
        <v>5</v>
      </c>
      <c r="AP71" s="15">
        <v>5</v>
      </c>
      <c r="AQ71" s="15">
        <v>5</v>
      </c>
      <c r="AR71" s="15"/>
      <c r="AS71" s="15"/>
      <c r="AT71" s="15"/>
      <c r="AU71" s="16"/>
      <c r="AV71" s="15"/>
      <c r="AW71" s="15"/>
      <c r="AX71" s="15"/>
      <c r="AY71" s="16"/>
      <c r="AZ71" s="15"/>
      <c r="BA71" s="15"/>
      <c r="BB71" s="15"/>
      <c r="BC71" s="16"/>
      <c r="BD71" s="15"/>
      <c r="BE71" s="15"/>
      <c r="BF71" s="15"/>
      <c r="BG71" s="16"/>
      <c r="BH71" s="15"/>
      <c r="BI71" s="15"/>
      <c r="BJ71" s="15"/>
      <c r="BK71" s="16"/>
      <c r="BL71" s="15"/>
      <c r="BM71" s="15"/>
      <c r="BN71" s="15"/>
      <c r="BO71" s="16"/>
      <c r="BP71" s="15"/>
      <c r="BQ71" s="15"/>
      <c r="BR71" s="15"/>
      <c r="BS71" s="16"/>
      <c r="BT71" s="15"/>
      <c r="BU71" s="15"/>
      <c r="BV71" s="15"/>
      <c r="BW71" s="16"/>
      <c r="BX71" s="15"/>
      <c r="BY71" s="15"/>
      <c r="BZ71" s="15"/>
      <c r="CA71" s="17"/>
      <c r="CB71" s="19">
        <v>4</v>
      </c>
      <c r="CC71" s="19"/>
      <c r="CD71" s="18">
        <v>45874</v>
      </c>
      <c r="CE71" s="19"/>
      <c r="CF71" s="20">
        <v>5</v>
      </c>
      <c r="CG71" s="21">
        <f t="shared" ref="CG71:CJ71" si="68">AVERAGE(BX71,BT71,BP71,BL71,BH71,BD71,AZ71,AV71,AR71,AN71,AJ71,AF71,AB71,X71,T71,P71,L71,H71,D71)</f>
        <v>5</v>
      </c>
      <c r="CH71" s="22">
        <f t="shared" si="68"/>
        <v>5</v>
      </c>
      <c r="CI71" s="22">
        <f t="shared" si="68"/>
        <v>5</v>
      </c>
      <c r="CJ71" s="22">
        <f t="shared" si="68"/>
        <v>5</v>
      </c>
      <c r="CK71" s="22">
        <f>(' Follow Up 1st'!$CB71+' Follow Up 1st'!$CC71)/2</f>
        <v>2</v>
      </c>
      <c r="CL71" s="23">
        <f>(' Follow Up 1st'!$CD71+' Follow Up 1st'!$CE71)/2</f>
        <v>22937</v>
      </c>
      <c r="CM71" s="24">
        <v>5</v>
      </c>
    </row>
    <row r="72" spans="1:91" ht="18.75" customHeight="1" x14ac:dyDescent="0.55000000000000004">
      <c r="A72" s="10">
        <v>70</v>
      </c>
      <c r="B72" s="25" t="s">
        <v>110</v>
      </c>
      <c r="C72" s="25" t="s">
        <v>100</v>
      </c>
      <c r="D72" s="12">
        <v>5</v>
      </c>
      <c r="E72" s="12">
        <v>5</v>
      </c>
      <c r="F72" s="12">
        <v>5</v>
      </c>
      <c r="G72" s="13">
        <v>5</v>
      </c>
      <c r="H72" s="13">
        <v>5</v>
      </c>
      <c r="I72" s="13">
        <v>5</v>
      </c>
      <c r="J72" s="13">
        <v>5</v>
      </c>
      <c r="K72" s="13">
        <v>5</v>
      </c>
      <c r="L72" s="15">
        <v>5</v>
      </c>
      <c r="M72" s="15">
        <v>5</v>
      </c>
      <c r="N72" s="15">
        <v>5</v>
      </c>
      <c r="O72" s="16">
        <v>5</v>
      </c>
      <c r="P72" s="15">
        <v>5</v>
      </c>
      <c r="Q72" s="12">
        <v>5</v>
      </c>
      <c r="R72" s="12">
        <v>5</v>
      </c>
      <c r="S72" s="13">
        <v>5</v>
      </c>
      <c r="T72" s="14">
        <v>5</v>
      </c>
      <c r="U72" s="14">
        <v>5</v>
      </c>
      <c r="V72" s="14">
        <v>5</v>
      </c>
      <c r="W72" s="14">
        <v>5</v>
      </c>
      <c r="X72" s="15">
        <v>5</v>
      </c>
      <c r="Y72" s="15">
        <v>5</v>
      </c>
      <c r="Z72" s="15">
        <v>5</v>
      </c>
      <c r="AA72" s="15">
        <v>5</v>
      </c>
      <c r="AB72" s="15">
        <v>5</v>
      </c>
      <c r="AC72" s="15">
        <v>5</v>
      </c>
      <c r="AD72" s="15">
        <v>5</v>
      </c>
      <c r="AE72" s="15">
        <v>5</v>
      </c>
      <c r="AF72" s="15">
        <v>5</v>
      </c>
      <c r="AG72" s="15">
        <v>5</v>
      </c>
      <c r="AH72" s="15">
        <v>5</v>
      </c>
      <c r="AI72" s="15">
        <v>5</v>
      </c>
      <c r="AJ72" s="15">
        <v>5</v>
      </c>
      <c r="AK72" s="15">
        <v>5</v>
      </c>
      <c r="AL72" s="15">
        <v>5</v>
      </c>
      <c r="AM72" s="15">
        <v>5</v>
      </c>
      <c r="AN72" s="15">
        <v>5</v>
      </c>
      <c r="AO72" s="15">
        <v>5</v>
      </c>
      <c r="AP72" s="15">
        <v>5</v>
      </c>
      <c r="AQ72" s="15">
        <v>5</v>
      </c>
      <c r="AR72" s="15"/>
      <c r="AS72" s="15"/>
      <c r="AT72" s="15"/>
      <c r="AU72" s="16"/>
      <c r="AV72" s="15"/>
      <c r="AW72" s="15"/>
      <c r="AX72" s="15"/>
      <c r="AY72" s="16"/>
      <c r="AZ72" s="15"/>
      <c r="BA72" s="15"/>
      <c r="BB72" s="15"/>
      <c r="BC72" s="16"/>
      <c r="BD72" s="15"/>
      <c r="BE72" s="15"/>
      <c r="BF72" s="15"/>
      <c r="BG72" s="16"/>
      <c r="BH72" s="15"/>
      <c r="BI72" s="15"/>
      <c r="BJ72" s="15"/>
      <c r="BK72" s="16"/>
      <c r="BL72" s="15"/>
      <c r="BM72" s="15"/>
      <c r="BN72" s="15"/>
      <c r="BO72" s="16"/>
      <c r="BP72" s="15"/>
      <c r="BQ72" s="15"/>
      <c r="BR72" s="15"/>
      <c r="BS72" s="16"/>
      <c r="BT72" s="15"/>
      <c r="BU72" s="15"/>
      <c r="BV72" s="15"/>
      <c r="BW72" s="16"/>
      <c r="BX72" s="15"/>
      <c r="BY72" s="15"/>
      <c r="BZ72" s="15"/>
      <c r="CA72" s="17"/>
      <c r="CB72" s="19">
        <v>5</v>
      </c>
      <c r="CC72" s="19"/>
      <c r="CD72" s="18">
        <v>45874</v>
      </c>
      <c r="CE72" s="19"/>
      <c r="CF72" s="20">
        <v>5</v>
      </c>
      <c r="CG72" s="21">
        <f t="shared" ref="CG72:CJ72" si="69">AVERAGE(BX72,BT72,BP72,BL72,BH72,BD72,AZ72,AV72,AR72,AN72,AJ72,AF72,AB72,X72,T72,P72,L72,H72,D72)</f>
        <v>5</v>
      </c>
      <c r="CH72" s="22">
        <f t="shared" si="69"/>
        <v>5</v>
      </c>
      <c r="CI72" s="22">
        <f t="shared" si="69"/>
        <v>5</v>
      </c>
      <c r="CJ72" s="22">
        <f t="shared" si="69"/>
        <v>5</v>
      </c>
      <c r="CK72" s="22">
        <f>(' Follow Up 1st'!$CB72+' Follow Up 1st'!$CC72)/2</f>
        <v>2.5</v>
      </c>
      <c r="CL72" s="23">
        <f>(' Follow Up 1st'!$CD72+' Follow Up 1st'!$CE72)/2</f>
        <v>22937</v>
      </c>
      <c r="CM72" s="24">
        <v>5</v>
      </c>
    </row>
    <row r="73" spans="1:91" ht="18.75" customHeight="1" x14ac:dyDescent="0.55000000000000004">
      <c r="A73" s="10">
        <v>71</v>
      </c>
      <c r="B73" s="25" t="s">
        <v>111</v>
      </c>
      <c r="C73" s="25" t="s">
        <v>112</v>
      </c>
      <c r="D73" s="12">
        <v>5</v>
      </c>
      <c r="E73" s="12">
        <v>5</v>
      </c>
      <c r="F73" s="12">
        <v>5</v>
      </c>
      <c r="G73" s="13">
        <v>5</v>
      </c>
      <c r="H73" s="13">
        <v>5</v>
      </c>
      <c r="I73" s="13">
        <v>5</v>
      </c>
      <c r="J73" s="13">
        <v>5</v>
      </c>
      <c r="K73" s="13">
        <v>5</v>
      </c>
      <c r="L73" s="15">
        <v>5</v>
      </c>
      <c r="M73" s="15">
        <v>3</v>
      </c>
      <c r="N73" s="15">
        <v>5</v>
      </c>
      <c r="O73" s="16">
        <v>5</v>
      </c>
      <c r="P73" s="15">
        <v>5</v>
      </c>
      <c r="Q73" s="12">
        <v>5</v>
      </c>
      <c r="R73" s="12">
        <v>5</v>
      </c>
      <c r="S73" s="13">
        <v>5</v>
      </c>
      <c r="T73" s="14">
        <v>5</v>
      </c>
      <c r="U73" s="14">
        <v>5</v>
      </c>
      <c r="V73" s="14">
        <v>5</v>
      </c>
      <c r="W73" s="14">
        <v>0</v>
      </c>
      <c r="X73" s="15">
        <v>5</v>
      </c>
      <c r="Y73" s="15">
        <v>5</v>
      </c>
      <c r="Z73" s="15">
        <v>5</v>
      </c>
      <c r="AA73" s="15">
        <v>5</v>
      </c>
      <c r="AB73" s="15">
        <v>5</v>
      </c>
      <c r="AC73" s="15">
        <v>5</v>
      </c>
      <c r="AD73" s="15">
        <v>5</v>
      </c>
      <c r="AE73" s="15">
        <v>5</v>
      </c>
      <c r="AF73" s="15">
        <v>5</v>
      </c>
      <c r="AG73" s="15">
        <v>5</v>
      </c>
      <c r="AH73" s="15">
        <v>5</v>
      </c>
      <c r="AI73" s="15">
        <v>5</v>
      </c>
      <c r="AJ73" s="15">
        <v>5</v>
      </c>
      <c r="AK73" s="15">
        <v>5</v>
      </c>
      <c r="AL73" s="15">
        <v>5</v>
      </c>
      <c r="AM73" s="15">
        <v>5</v>
      </c>
      <c r="AN73" s="15">
        <v>5</v>
      </c>
      <c r="AO73" s="15">
        <v>5</v>
      </c>
      <c r="AP73" s="15">
        <v>5</v>
      </c>
      <c r="AQ73" s="15">
        <v>5</v>
      </c>
      <c r="AR73" s="15"/>
      <c r="AS73" s="15"/>
      <c r="AT73" s="15"/>
      <c r="AU73" s="16"/>
      <c r="AV73" s="15"/>
      <c r="AW73" s="15"/>
      <c r="AX73" s="15"/>
      <c r="AY73" s="16"/>
      <c r="AZ73" s="15"/>
      <c r="BA73" s="15"/>
      <c r="BB73" s="15"/>
      <c r="BC73" s="16"/>
      <c r="BD73" s="15"/>
      <c r="BE73" s="15"/>
      <c r="BF73" s="15"/>
      <c r="BG73" s="16"/>
      <c r="BH73" s="15"/>
      <c r="BI73" s="15"/>
      <c r="BJ73" s="15"/>
      <c r="BK73" s="16"/>
      <c r="BL73" s="15"/>
      <c r="BM73" s="15"/>
      <c r="BN73" s="15"/>
      <c r="BO73" s="16"/>
      <c r="BP73" s="15"/>
      <c r="BQ73" s="15"/>
      <c r="BR73" s="15"/>
      <c r="BS73" s="16"/>
      <c r="BT73" s="15"/>
      <c r="BU73" s="15"/>
      <c r="BV73" s="15"/>
      <c r="BW73" s="16"/>
      <c r="BX73" s="15"/>
      <c r="BY73" s="15"/>
      <c r="BZ73" s="15"/>
      <c r="CA73" s="17"/>
      <c r="CB73" s="19">
        <v>4</v>
      </c>
      <c r="CC73" s="19"/>
      <c r="CD73" s="19">
        <v>7</v>
      </c>
      <c r="CE73" s="19"/>
      <c r="CF73" s="20">
        <v>5</v>
      </c>
      <c r="CG73" s="21">
        <f t="shared" ref="CG73:CJ73" si="70">AVERAGE(BX73,BT73,BP73,BL73,BH73,BD73,AZ73,AV73,AR73,AN73,AJ73,AF73,AB73,X73,T73,P73,L73,H73,D73)</f>
        <v>5</v>
      </c>
      <c r="CH73" s="22">
        <f t="shared" si="70"/>
        <v>4.8</v>
      </c>
      <c r="CI73" s="22">
        <f t="shared" si="70"/>
        <v>5</v>
      </c>
      <c r="CJ73" s="22">
        <f t="shared" si="70"/>
        <v>4.5</v>
      </c>
      <c r="CK73" s="22">
        <f>(' Follow Up 1st'!$CB73+' Follow Up 1st'!$CC73)/2</f>
        <v>2</v>
      </c>
      <c r="CL73" s="22">
        <f>(' Follow Up 1st'!$CD73+' Follow Up 1st'!$CE73)/2</f>
        <v>3.5</v>
      </c>
      <c r="CM73" s="24">
        <v>5</v>
      </c>
    </row>
    <row r="74" spans="1:91" ht="18.75" customHeight="1" x14ac:dyDescent="0.55000000000000004">
      <c r="A74" s="10">
        <v>72</v>
      </c>
      <c r="B74" s="25" t="s">
        <v>113</v>
      </c>
      <c r="C74" s="25" t="s">
        <v>112</v>
      </c>
      <c r="D74" s="12">
        <v>5</v>
      </c>
      <c r="E74" s="12">
        <v>5</v>
      </c>
      <c r="F74" s="12">
        <v>5</v>
      </c>
      <c r="G74" s="13">
        <v>5</v>
      </c>
      <c r="H74" s="13">
        <v>5</v>
      </c>
      <c r="I74" s="13">
        <v>5</v>
      </c>
      <c r="J74" s="13">
        <v>5</v>
      </c>
      <c r="K74" s="13">
        <v>5</v>
      </c>
      <c r="L74" s="15">
        <v>5</v>
      </c>
      <c r="M74" s="15">
        <v>5</v>
      </c>
      <c r="N74" s="15">
        <v>5</v>
      </c>
      <c r="O74" s="16">
        <v>0</v>
      </c>
      <c r="P74" s="15">
        <v>5</v>
      </c>
      <c r="Q74" s="12">
        <v>5</v>
      </c>
      <c r="R74" s="12">
        <v>5</v>
      </c>
      <c r="S74" s="13">
        <v>5</v>
      </c>
      <c r="T74" s="14">
        <v>5</v>
      </c>
      <c r="U74" s="14">
        <v>5</v>
      </c>
      <c r="V74" s="14">
        <v>5</v>
      </c>
      <c r="W74" s="14">
        <v>5</v>
      </c>
      <c r="X74" s="15">
        <v>5</v>
      </c>
      <c r="Y74" s="15">
        <v>5</v>
      </c>
      <c r="Z74" s="15">
        <v>5</v>
      </c>
      <c r="AA74" s="15">
        <v>5</v>
      </c>
      <c r="AB74" s="15">
        <v>5</v>
      </c>
      <c r="AC74" s="15">
        <v>5</v>
      </c>
      <c r="AD74" s="15">
        <v>5</v>
      </c>
      <c r="AE74" s="15">
        <v>5</v>
      </c>
      <c r="AF74" s="15">
        <v>5</v>
      </c>
      <c r="AG74" s="15">
        <v>5</v>
      </c>
      <c r="AH74" s="15">
        <v>5</v>
      </c>
      <c r="AI74" s="15">
        <v>5</v>
      </c>
      <c r="AJ74" s="15">
        <v>5</v>
      </c>
      <c r="AK74" s="15">
        <v>5</v>
      </c>
      <c r="AL74" s="15">
        <v>5</v>
      </c>
      <c r="AM74" s="15">
        <v>5</v>
      </c>
      <c r="AN74" s="15">
        <v>5</v>
      </c>
      <c r="AO74" s="15">
        <v>5</v>
      </c>
      <c r="AP74" s="15">
        <v>5</v>
      </c>
      <c r="AQ74" s="15">
        <v>5</v>
      </c>
      <c r="AR74" s="15"/>
      <c r="AS74" s="15"/>
      <c r="AT74" s="15"/>
      <c r="AU74" s="16"/>
      <c r="AV74" s="15"/>
      <c r="AW74" s="15"/>
      <c r="AX74" s="15"/>
      <c r="AY74" s="16"/>
      <c r="AZ74" s="15"/>
      <c r="BA74" s="15"/>
      <c r="BB74" s="15"/>
      <c r="BC74" s="16"/>
      <c r="BD74" s="15"/>
      <c r="BE74" s="15"/>
      <c r="BF74" s="15"/>
      <c r="BG74" s="16"/>
      <c r="BH74" s="15"/>
      <c r="BI74" s="15"/>
      <c r="BJ74" s="15"/>
      <c r="BK74" s="16"/>
      <c r="BL74" s="15"/>
      <c r="BM74" s="15"/>
      <c r="BN74" s="15"/>
      <c r="BO74" s="16"/>
      <c r="BP74" s="15"/>
      <c r="BQ74" s="15"/>
      <c r="BR74" s="15"/>
      <c r="BS74" s="16"/>
      <c r="BT74" s="15"/>
      <c r="BU74" s="15"/>
      <c r="BV74" s="15"/>
      <c r="BW74" s="16"/>
      <c r="BX74" s="15"/>
      <c r="BY74" s="15"/>
      <c r="BZ74" s="15"/>
      <c r="CA74" s="17"/>
      <c r="CB74" s="19">
        <v>5</v>
      </c>
      <c r="CC74" s="19"/>
      <c r="CD74" s="19">
        <v>10</v>
      </c>
      <c r="CE74" s="19"/>
      <c r="CF74" s="20">
        <v>5</v>
      </c>
      <c r="CG74" s="21">
        <f t="shared" ref="CG74:CJ74" si="71">AVERAGE(BX74,BT74,BP74,BL74,BH74,BD74,AZ74,AV74,AR74,AN74,AJ74,AF74,AB74,X74,T74,P74,L74,H74,D74)</f>
        <v>5</v>
      </c>
      <c r="CH74" s="22">
        <f t="shared" si="71"/>
        <v>5</v>
      </c>
      <c r="CI74" s="22">
        <f t="shared" si="71"/>
        <v>5</v>
      </c>
      <c r="CJ74" s="22">
        <f t="shared" si="71"/>
        <v>4.5</v>
      </c>
      <c r="CK74" s="22">
        <f>(' Follow Up 1st'!$CB74+' Follow Up 1st'!$CC74)/2</f>
        <v>2.5</v>
      </c>
      <c r="CL74" s="22">
        <f>(' Follow Up 1st'!$CD74+' Follow Up 1st'!$CE74)/2</f>
        <v>5</v>
      </c>
      <c r="CM74" s="24">
        <v>5</v>
      </c>
    </row>
    <row r="75" spans="1:91" ht="18.75" customHeight="1" x14ac:dyDescent="0.55000000000000004">
      <c r="A75" s="10">
        <v>73</v>
      </c>
      <c r="B75" s="25" t="s">
        <v>114</v>
      </c>
      <c r="C75" s="25" t="s">
        <v>112</v>
      </c>
      <c r="D75" s="12">
        <v>5</v>
      </c>
      <c r="E75" s="12">
        <v>5</v>
      </c>
      <c r="F75" s="12">
        <v>5</v>
      </c>
      <c r="G75" s="13">
        <v>5</v>
      </c>
      <c r="H75" s="13">
        <v>5</v>
      </c>
      <c r="I75" s="13">
        <v>5</v>
      </c>
      <c r="J75" s="13">
        <v>5</v>
      </c>
      <c r="K75" s="13">
        <v>5</v>
      </c>
      <c r="L75" s="15">
        <v>5</v>
      </c>
      <c r="M75" s="15">
        <v>5</v>
      </c>
      <c r="N75" s="15">
        <v>5</v>
      </c>
      <c r="O75" s="16">
        <v>5</v>
      </c>
      <c r="P75" s="15">
        <v>5</v>
      </c>
      <c r="Q75" s="12">
        <v>5</v>
      </c>
      <c r="R75" s="12">
        <v>5</v>
      </c>
      <c r="S75" s="13">
        <v>5</v>
      </c>
      <c r="T75" s="14">
        <v>5</v>
      </c>
      <c r="U75" s="14">
        <v>5</v>
      </c>
      <c r="V75" s="14">
        <v>5</v>
      </c>
      <c r="W75" s="14">
        <v>5</v>
      </c>
      <c r="X75" s="15">
        <v>5</v>
      </c>
      <c r="Y75" s="15">
        <v>5</v>
      </c>
      <c r="Z75" s="15">
        <v>5</v>
      </c>
      <c r="AA75" s="15">
        <v>5</v>
      </c>
      <c r="AB75" s="15">
        <v>5</v>
      </c>
      <c r="AC75" s="15">
        <v>5</v>
      </c>
      <c r="AD75" s="15">
        <v>5</v>
      </c>
      <c r="AE75" s="15">
        <v>5</v>
      </c>
      <c r="AF75" s="15">
        <v>5</v>
      </c>
      <c r="AG75" s="15">
        <v>5</v>
      </c>
      <c r="AH75" s="15">
        <v>5</v>
      </c>
      <c r="AI75" s="15">
        <v>5</v>
      </c>
      <c r="AJ75" s="15">
        <v>5</v>
      </c>
      <c r="AK75" s="15">
        <v>5</v>
      </c>
      <c r="AL75" s="15">
        <v>5</v>
      </c>
      <c r="AM75" s="15">
        <v>5</v>
      </c>
      <c r="AN75" s="15">
        <v>5</v>
      </c>
      <c r="AO75" s="15">
        <v>5</v>
      </c>
      <c r="AP75" s="15">
        <v>5</v>
      </c>
      <c r="AQ75" s="15">
        <v>5</v>
      </c>
      <c r="AR75" s="15"/>
      <c r="AS75" s="15"/>
      <c r="AT75" s="15"/>
      <c r="AU75" s="16"/>
      <c r="AV75" s="15"/>
      <c r="AW75" s="15"/>
      <c r="AX75" s="15"/>
      <c r="AY75" s="16"/>
      <c r="AZ75" s="15"/>
      <c r="BA75" s="15"/>
      <c r="BB75" s="15"/>
      <c r="BC75" s="16"/>
      <c r="BD75" s="15"/>
      <c r="BE75" s="15"/>
      <c r="BF75" s="15"/>
      <c r="BG75" s="16"/>
      <c r="BH75" s="15"/>
      <c r="BI75" s="15"/>
      <c r="BJ75" s="15"/>
      <c r="BK75" s="16"/>
      <c r="BL75" s="15"/>
      <c r="BM75" s="15"/>
      <c r="BN75" s="15"/>
      <c r="BO75" s="16"/>
      <c r="BP75" s="15"/>
      <c r="BQ75" s="15"/>
      <c r="BR75" s="15"/>
      <c r="BS75" s="16"/>
      <c r="BT75" s="15"/>
      <c r="BU75" s="15"/>
      <c r="BV75" s="15"/>
      <c r="BW75" s="16"/>
      <c r="BX75" s="15"/>
      <c r="BY75" s="15"/>
      <c r="BZ75" s="15"/>
      <c r="CA75" s="17"/>
      <c r="CB75" s="19">
        <v>4</v>
      </c>
      <c r="CC75" s="19"/>
      <c r="CD75" s="19">
        <v>9</v>
      </c>
      <c r="CE75" s="19"/>
      <c r="CF75" s="20">
        <v>5</v>
      </c>
      <c r="CG75" s="21">
        <f t="shared" ref="CG75:CJ75" si="72">AVERAGE(BX75,BT75,BP75,BL75,BH75,BD75,AZ75,AV75,AR75,AN75,AJ75,AF75,AB75,X75,T75,P75,L75,H75,D75)</f>
        <v>5</v>
      </c>
      <c r="CH75" s="22">
        <f t="shared" si="72"/>
        <v>5</v>
      </c>
      <c r="CI75" s="22">
        <f t="shared" si="72"/>
        <v>5</v>
      </c>
      <c r="CJ75" s="22">
        <f t="shared" si="72"/>
        <v>5</v>
      </c>
      <c r="CK75" s="22">
        <f>(' Follow Up 1st'!$CB75+' Follow Up 1st'!$CC75)/2</f>
        <v>2</v>
      </c>
      <c r="CL75" s="22">
        <f>(' Follow Up 1st'!$CD75+' Follow Up 1st'!$CE75)/2</f>
        <v>4.5</v>
      </c>
      <c r="CM75" s="24">
        <v>5</v>
      </c>
    </row>
    <row r="76" spans="1:91" ht="18.75" customHeight="1" x14ac:dyDescent="0.55000000000000004">
      <c r="A76" s="10">
        <v>74</v>
      </c>
      <c r="B76" s="25" t="s">
        <v>115</v>
      </c>
      <c r="C76" s="25" t="s">
        <v>112</v>
      </c>
      <c r="D76" s="12">
        <v>5</v>
      </c>
      <c r="E76" s="12">
        <v>5</v>
      </c>
      <c r="F76" s="12">
        <v>5</v>
      </c>
      <c r="G76" s="13">
        <v>5</v>
      </c>
      <c r="H76" s="13">
        <v>5</v>
      </c>
      <c r="I76" s="13">
        <v>5</v>
      </c>
      <c r="J76" s="13">
        <v>5</v>
      </c>
      <c r="K76" s="13">
        <v>5</v>
      </c>
      <c r="L76" s="15">
        <v>5</v>
      </c>
      <c r="M76" s="15">
        <v>3</v>
      </c>
      <c r="N76" s="15">
        <v>5</v>
      </c>
      <c r="O76" s="16">
        <v>5</v>
      </c>
      <c r="P76" s="15">
        <v>5</v>
      </c>
      <c r="Q76" s="12">
        <v>5</v>
      </c>
      <c r="R76" s="12">
        <v>5</v>
      </c>
      <c r="S76" s="13">
        <v>5</v>
      </c>
      <c r="T76" s="14">
        <v>5</v>
      </c>
      <c r="U76" s="14">
        <v>5</v>
      </c>
      <c r="V76" s="14">
        <v>5</v>
      </c>
      <c r="W76" s="14">
        <v>5</v>
      </c>
      <c r="X76" s="15">
        <v>5</v>
      </c>
      <c r="Y76" s="15">
        <v>5</v>
      </c>
      <c r="Z76" s="15">
        <v>5</v>
      </c>
      <c r="AA76" s="15">
        <v>5</v>
      </c>
      <c r="AB76" s="15">
        <v>5</v>
      </c>
      <c r="AC76" s="15">
        <v>5</v>
      </c>
      <c r="AD76" s="15">
        <v>5</v>
      </c>
      <c r="AE76" s="15">
        <v>5</v>
      </c>
      <c r="AF76" s="15">
        <v>5</v>
      </c>
      <c r="AG76" s="15">
        <v>5</v>
      </c>
      <c r="AH76" s="15">
        <v>5</v>
      </c>
      <c r="AI76" s="15">
        <v>5</v>
      </c>
      <c r="AJ76" s="15">
        <v>5</v>
      </c>
      <c r="AK76" s="15">
        <v>5</v>
      </c>
      <c r="AL76" s="15">
        <v>5</v>
      </c>
      <c r="AM76" s="15">
        <v>5</v>
      </c>
      <c r="AN76" s="15">
        <v>5</v>
      </c>
      <c r="AO76" s="15">
        <v>5</v>
      </c>
      <c r="AP76" s="15">
        <v>5</v>
      </c>
      <c r="AQ76" s="15">
        <v>5</v>
      </c>
      <c r="AR76" s="15"/>
      <c r="AS76" s="15"/>
      <c r="AT76" s="15"/>
      <c r="AU76" s="16"/>
      <c r="AV76" s="15"/>
      <c r="AW76" s="15"/>
      <c r="AX76" s="15"/>
      <c r="AY76" s="16"/>
      <c r="AZ76" s="15"/>
      <c r="BA76" s="15"/>
      <c r="BB76" s="15"/>
      <c r="BC76" s="16"/>
      <c r="BD76" s="15"/>
      <c r="BE76" s="15"/>
      <c r="BF76" s="15"/>
      <c r="BG76" s="16"/>
      <c r="BH76" s="15"/>
      <c r="BI76" s="15"/>
      <c r="BJ76" s="15"/>
      <c r="BK76" s="16"/>
      <c r="BL76" s="15"/>
      <c r="BM76" s="15"/>
      <c r="BN76" s="15"/>
      <c r="BO76" s="16"/>
      <c r="BP76" s="15"/>
      <c r="BQ76" s="15"/>
      <c r="BR76" s="15"/>
      <c r="BS76" s="16"/>
      <c r="BT76" s="15"/>
      <c r="BU76" s="15"/>
      <c r="BV76" s="15"/>
      <c r="BW76" s="16"/>
      <c r="BX76" s="15"/>
      <c r="BY76" s="15"/>
      <c r="BZ76" s="15"/>
      <c r="CA76" s="17"/>
      <c r="CB76" s="19">
        <v>5</v>
      </c>
      <c r="CC76" s="19"/>
      <c r="CD76" s="18">
        <v>45874</v>
      </c>
      <c r="CE76" s="19"/>
      <c r="CF76" s="20">
        <v>5</v>
      </c>
      <c r="CG76" s="21">
        <f t="shared" ref="CG76:CJ76" si="73">AVERAGE(BX76,BT76,BP76,BL76,BH76,BD76,AZ76,AV76,AR76,AN76,AJ76,AF76,AB76,X76,T76,P76,L76,H76,D76)</f>
        <v>5</v>
      </c>
      <c r="CH76" s="22">
        <f t="shared" si="73"/>
        <v>4.8</v>
      </c>
      <c r="CI76" s="22">
        <f t="shared" si="73"/>
        <v>5</v>
      </c>
      <c r="CJ76" s="22">
        <f t="shared" si="73"/>
        <v>5</v>
      </c>
      <c r="CK76" s="22">
        <f>(' Follow Up 1st'!$CB76+' Follow Up 1st'!$CC76)/2</f>
        <v>2.5</v>
      </c>
      <c r="CL76" s="23">
        <f>(' Follow Up 1st'!$CD76+' Follow Up 1st'!$CE76)/2</f>
        <v>22937</v>
      </c>
      <c r="CM76" s="24">
        <v>5</v>
      </c>
    </row>
    <row r="77" spans="1:91" ht="18.75" customHeight="1" x14ac:dyDescent="0.55000000000000004">
      <c r="A77" s="10">
        <v>75</v>
      </c>
      <c r="B77" s="25" t="s">
        <v>116</v>
      </c>
      <c r="C77" s="25" t="s">
        <v>112</v>
      </c>
      <c r="D77" s="12">
        <v>5</v>
      </c>
      <c r="E77" s="12">
        <v>5</v>
      </c>
      <c r="F77" s="12">
        <v>5</v>
      </c>
      <c r="G77" s="13">
        <v>5</v>
      </c>
      <c r="H77" s="13">
        <v>5</v>
      </c>
      <c r="I77" s="13">
        <v>5</v>
      </c>
      <c r="J77" s="13">
        <v>5</v>
      </c>
      <c r="K77" s="13">
        <v>5</v>
      </c>
      <c r="L77" s="15">
        <v>5</v>
      </c>
      <c r="M77" s="15">
        <v>5</v>
      </c>
      <c r="N77" s="15">
        <v>5</v>
      </c>
      <c r="O77" s="16">
        <v>5</v>
      </c>
      <c r="P77" s="15">
        <v>5</v>
      </c>
      <c r="Q77" s="12">
        <v>5</v>
      </c>
      <c r="R77" s="12">
        <v>5</v>
      </c>
      <c r="S77" s="13">
        <v>5</v>
      </c>
      <c r="T77" s="14">
        <v>5</v>
      </c>
      <c r="U77" s="14">
        <v>5</v>
      </c>
      <c r="V77" s="14">
        <v>5</v>
      </c>
      <c r="W77" s="14">
        <v>5</v>
      </c>
      <c r="X77" s="15">
        <v>5</v>
      </c>
      <c r="Y77" s="15">
        <v>5</v>
      </c>
      <c r="Z77" s="15">
        <v>5</v>
      </c>
      <c r="AA77" s="15">
        <v>5</v>
      </c>
      <c r="AB77" s="15">
        <v>5</v>
      </c>
      <c r="AC77" s="15">
        <v>5</v>
      </c>
      <c r="AD77" s="15">
        <v>5</v>
      </c>
      <c r="AE77" s="15">
        <v>5</v>
      </c>
      <c r="AF77" s="15">
        <v>5</v>
      </c>
      <c r="AG77" s="15">
        <v>5</v>
      </c>
      <c r="AH77" s="15">
        <v>5</v>
      </c>
      <c r="AI77" s="15">
        <v>5</v>
      </c>
      <c r="AJ77" s="15">
        <v>5</v>
      </c>
      <c r="AK77" s="15">
        <v>5</v>
      </c>
      <c r="AL77" s="15">
        <v>5</v>
      </c>
      <c r="AM77" s="15">
        <v>5</v>
      </c>
      <c r="AN77" s="15">
        <v>5</v>
      </c>
      <c r="AO77" s="15">
        <v>5</v>
      </c>
      <c r="AP77" s="15">
        <v>5</v>
      </c>
      <c r="AQ77" s="15">
        <v>5</v>
      </c>
      <c r="AR77" s="15"/>
      <c r="AS77" s="15"/>
      <c r="AT77" s="15"/>
      <c r="AU77" s="16"/>
      <c r="AV77" s="15"/>
      <c r="AW77" s="15"/>
      <c r="AX77" s="15"/>
      <c r="AY77" s="16"/>
      <c r="AZ77" s="15"/>
      <c r="BA77" s="15"/>
      <c r="BB77" s="15"/>
      <c r="BC77" s="16"/>
      <c r="BD77" s="15"/>
      <c r="BE77" s="15"/>
      <c r="BF77" s="15"/>
      <c r="BG77" s="16"/>
      <c r="BH77" s="15"/>
      <c r="BI77" s="15"/>
      <c r="BJ77" s="15"/>
      <c r="BK77" s="16"/>
      <c r="BL77" s="15"/>
      <c r="BM77" s="15"/>
      <c r="BN77" s="15"/>
      <c r="BO77" s="16"/>
      <c r="BP77" s="15"/>
      <c r="BQ77" s="15"/>
      <c r="BR77" s="15"/>
      <c r="BS77" s="16"/>
      <c r="BT77" s="15"/>
      <c r="BU77" s="15"/>
      <c r="BV77" s="15"/>
      <c r="BW77" s="16"/>
      <c r="BX77" s="15"/>
      <c r="BY77" s="15"/>
      <c r="BZ77" s="15"/>
      <c r="CA77" s="17"/>
      <c r="CB77" s="19">
        <v>4</v>
      </c>
      <c r="CC77" s="19"/>
      <c r="CD77" s="19">
        <v>8</v>
      </c>
      <c r="CE77" s="19"/>
      <c r="CF77" s="20">
        <v>5</v>
      </c>
      <c r="CG77" s="21">
        <f t="shared" ref="CG77:CJ77" si="74">AVERAGE(BX77,BT77,BP77,BL77,BH77,BD77,AZ77,AV77,AR77,AN77,AJ77,AF77,AB77,X77,T77,P77,L77,H77,D77)</f>
        <v>5</v>
      </c>
      <c r="CH77" s="22">
        <f t="shared" si="74"/>
        <v>5</v>
      </c>
      <c r="CI77" s="22">
        <f t="shared" si="74"/>
        <v>5</v>
      </c>
      <c r="CJ77" s="22">
        <f t="shared" si="74"/>
        <v>5</v>
      </c>
      <c r="CK77" s="22">
        <f>(' Follow Up 1st'!$CB77+' Follow Up 1st'!$CC77)/2</f>
        <v>2</v>
      </c>
      <c r="CL77" s="22">
        <f>(' Follow Up 1st'!$CD77+' Follow Up 1st'!$CE77)/2</f>
        <v>4</v>
      </c>
      <c r="CM77" s="24">
        <v>5</v>
      </c>
    </row>
    <row r="78" spans="1:91" ht="18.75" customHeight="1" x14ac:dyDescent="0.55000000000000004">
      <c r="A78" s="10">
        <v>76</v>
      </c>
      <c r="B78" s="25" t="s">
        <v>117</v>
      </c>
      <c r="C78" s="25" t="s">
        <v>112</v>
      </c>
      <c r="D78" s="12">
        <v>5</v>
      </c>
      <c r="E78" s="12">
        <v>5</v>
      </c>
      <c r="F78" s="12">
        <v>5</v>
      </c>
      <c r="G78" s="13">
        <v>5</v>
      </c>
      <c r="H78" s="13">
        <v>5</v>
      </c>
      <c r="I78" s="13">
        <v>5</v>
      </c>
      <c r="J78" s="13">
        <v>5</v>
      </c>
      <c r="K78" s="13">
        <v>5</v>
      </c>
      <c r="L78" s="15">
        <v>5</v>
      </c>
      <c r="M78" s="15">
        <v>5</v>
      </c>
      <c r="N78" s="15">
        <v>5</v>
      </c>
      <c r="O78" s="16">
        <v>0</v>
      </c>
      <c r="P78" s="15">
        <v>5</v>
      </c>
      <c r="Q78" s="12">
        <v>5</v>
      </c>
      <c r="R78" s="12">
        <v>5</v>
      </c>
      <c r="S78" s="13">
        <v>5</v>
      </c>
      <c r="T78" s="14">
        <v>5</v>
      </c>
      <c r="U78" s="14">
        <v>5</v>
      </c>
      <c r="V78" s="14">
        <v>5</v>
      </c>
      <c r="W78" s="14">
        <v>0</v>
      </c>
      <c r="X78" s="15">
        <v>5</v>
      </c>
      <c r="Y78" s="15">
        <v>5</v>
      </c>
      <c r="Z78" s="15">
        <v>5</v>
      </c>
      <c r="AA78" s="15">
        <v>5</v>
      </c>
      <c r="AB78" s="15">
        <v>5</v>
      </c>
      <c r="AC78" s="15">
        <v>5</v>
      </c>
      <c r="AD78" s="15">
        <v>5</v>
      </c>
      <c r="AE78" s="15">
        <v>5</v>
      </c>
      <c r="AF78" s="15">
        <v>5</v>
      </c>
      <c r="AG78" s="15">
        <v>5</v>
      </c>
      <c r="AH78" s="15">
        <v>5</v>
      </c>
      <c r="AI78" s="15">
        <v>5</v>
      </c>
      <c r="AJ78" s="15">
        <v>5</v>
      </c>
      <c r="AK78" s="15">
        <v>5</v>
      </c>
      <c r="AL78" s="15">
        <v>5</v>
      </c>
      <c r="AM78" s="15">
        <v>5</v>
      </c>
      <c r="AN78" s="15">
        <v>5</v>
      </c>
      <c r="AO78" s="15">
        <v>5</v>
      </c>
      <c r="AP78" s="15">
        <v>5</v>
      </c>
      <c r="AQ78" s="15">
        <v>5</v>
      </c>
      <c r="AR78" s="15"/>
      <c r="AS78" s="15"/>
      <c r="AT78" s="15"/>
      <c r="AU78" s="16"/>
      <c r="AV78" s="15"/>
      <c r="AW78" s="15"/>
      <c r="AX78" s="15"/>
      <c r="AY78" s="16"/>
      <c r="AZ78" s="15"/>
      <c r="BA78" s="15"/>
      <c r="BB78" s="15"/>
      <c r="BC78" s="16"/>
      <c r="BD78" s="15"/>
      <c r="BE78" s="15"/>
      <c r="BF78" s="15"/>
      <c r="BG78" s="16"/>
      <c r="BH78" s="15"/>
      <c r="BI78" s="15"/>
      <c r="BJ78" s="15"/>
      <c r="BK78" s="16"/>
      <c r="BL78" s="15"/>
      <c r="BM78" s="15"/>
      <c r="BN78" s="15"/>
      <c r="BO78" s="16"/>
      <c r="BP78" s="15"/>
      <c r="BQ78" s="15"/>
      <c r="BR78" s="15"/>
      <c r="BS78" s="16"/>
      <c r="BT78" s="15"/>
      <c r="BU78" s="15"/>
      <c r="BV78" s="15"/>
      <c r="BW78" s="16"/>
      <c r="BX78" s="15"/>
      <c r="BY78" s="15"/>
      <c r="BZ78" s="15"/>
      <c r="CA78" s="17"/>
      <c r="CB78" s="19">
        <v>4</v>
      </c>
      <c r="CC78" s="19"/>
      <c r="CD78" s="18">
        <v>45843</v>
      </c>
      <c r="CE78" s="19"/>
      <c r="CF78" s="20">
        <v>5</v>
      </c>
      <c r="CG78" s="21">
        <f t="shared" ref="CG78:CJ78" si="75">AVERAGE(BX78,BT78,BP78,BL78,BH78,BD78,AZ78,AV78,AR78,AN78,AJ78,AF78,AB78,X78,T78,P78,L78,H78,D78)</f>
        <v>5</v>
      </c>
      <c r="CH78" s="22">
        <f t="shared" si="75"/>
        <v>5</v>
      </c>
      <c r="CI78" s="22">
        <f t="shared" si="75"/>
        <v>5</v>
      </c>
      <c r="CJ78" s="22">
        <f t="shared" si="75"/>
        <v>4</v>
      </c>
      <c r="CK78" s="22">
        <f>(' Follow Up 1st'!$CB78+' Follow Up 1st'!$CC78)/2</f>
        <v>2</v>
      </c>
      <c r="CL78" s="23">
        <f>(' Follow Up 1st'!$CD78+' Follow Up 1st'!$CE78)/2</f>
        <v>22921.5</v>
      </c>
      <c r="CM78" s="24">
        <v>5</v>
      </c>
    </row>
    <row r="79" spans="1:91" ht="18.75" customHeight="1" x14ac:dyDescent="0.55000000000000004">
      <c r="A79" s="10">
        <v>77</v>
      </c>
      <c r="B79" s="25" t="s">
        <v>118</v>
      </c>
      <c r="C79" s="25" t="s">
        <v>112</v>
      </c>
      <c r="D79" s="12">
        <v>5</v>
      </c>
      <c r="E79" s="12">
        <v>5</v>
      </c>
      <c r="F79" s="12">
        <v>5</v>
      </c>
      <c r="G79" s="13">
        <v>5</v>
      </c>
      <c r="H79" s="13">
        <v>5</v>
      </c>
      <c r="I79" s="13">
        <v>5</v>
      </c>
      <c r="J79" s="13">
        <v>5</v>
      </c>
      <c r="K79" s="13">
        <v>5</v>
      </c>
      <c r="L79" s="15">
        <v>5</v>
      </c>
      <c r="M79" s="15">
        <v>5</v>
      </c>
      <c r="N79" s="15">
        <v>5</v>
      </c>
      <c r="O79" s="16">
        <v>0</v>
      </c>
      <c r="P79" s="15">
        <v>5</v>
      </c>
      <c r="Q79" s="12">
        <v>5</v>
      </c>
      <c r="R79" s="12">
        <v>5</v>
      </c>
      <c r="S79" s="13">
        <v>5</v>
      </c>
      <c r="T79" s="14">
        <v>5</v>
      </c>
      <c r="U79" s="14">
        <v>5</v>
      </c>
      <c r="V79" s="14">
        <v>5</v>
      </c>
      <c r="W79" s="14">
        <v>0</v>
      </c>
      <c r="X79" s="15">
        <v>5</v>
      </c>
      <c r="Y79" s="15">
        <v>5</v>
      </c>
      <c r="Z79" s="15">
        <v>5</v>
      </c>
      <c r="AA79" s="15">
        <v>5</v>
      </c>
      <c r="AB79" s="15">
        <v>5</v>
      </c>
      <c r="AC79" s="15">
        <v>5</v>
      </c>
      <c r="AD79" s="15">
        <v>5</v>
      </c>
      <c r="AE79" s="15">
        <v>5</v>
      </c>
      <c r="AF79" s="15">
        <v>5</v>
      </c>
      <c r="AG79" s="15">
        <v>5</v>
      </c>
      <c r="AH79" s="15">
        <v>5</v>
      </c>
      <c r="AI79" s="15">
        <v>5</v>
      </c>
      <c r="AJ79" s="15">
        <v>5</v>
      </c>
      <c r="AK79" s="15">
        <v>5</v>
      </c>
      <c r="AL79" s="15">
        <v>5</v>
      </c>
      <c r="AM79" s="15">
        <v>5</v>
      </c>
      <c r="AN79" s="15">
        <v>5</v>
      </c>
      <c r="AO79" s="15">
        <v>5</v>
      </c>
      <c r="AP79" s="15">
        <v>5</v>
      </c>
      <c r="AQ79" s="15">
        <v>5</v>
      </c>
      <c r="AR79" s="15"/>
      <c r="AS79" s="15"/>
      <c r="AT79" s="15"/>
      <c r="AU79" s="16"/>
      <c r="AV79" s="15"/>
      <c r="AW79" s="15"/>
      <c r="AX79" s="15"/>
      <c r="AY79" s="16"/>
      <c r="AZ79" s="15"/>
      <c r="BA79" s="15"/>
      <c r="BB79" s="15"/>
      <c r="BC79" s="16"/>
      <c r="BD79" s="15"/>
      <c r="BE79" s="15"/>
      <c r="BF79" s="15"/>
      <c r="BG79" s="16"/>
      <c r="BH79" s="15"/>
      <c r="BI79" s="15"/>
      <c r="BJ79" s="15"/>
      <c r="BK79" s="16"/>
      <c r="BL79" s="15"/>
      <c r="BM79" s="15"/>
      <c r="BN79" s="15"/>
      <c r="BO79" s="16"/>
      <c r="BP79" s="15"/>
      <c r="BQ79" s="15"/>
      <c r="BR79" s="15"/>
      <c r="BS79" s="16"/>
      <c r="BT79" s="15"/>
      <c r="BU79" s="15"/>
      <c r="BV79" s="15"/>
      <c r="BW79" s="16"/>
      <c r="BX79" s="15"/>
      <c r="BY79" s="15"/>
      <c r="BZ79" s="15"/>
      <c r="CA79" s="17"/>
      <c r="CB79" s="19">
        <v>2</v>
      </c>
      <c r="CC79" s="19"/>
      <c r="CD79" s="19">
        <v>8</v>
      </c>
      <c r="CE79" s="19"/>
      <c r="CF79" s="20">
        <v>5</v>
      </c>
      <c r="CG79" s="21">
        <f t="shared" ref="CG79:CJ79" si="76">AVERAGE(BX79,BT79,BP79,BL79,BH79,BD79,AZ79,AV79,AR79,AN79,AJ79,AF79,AB79,X79,T79,P79,L79,H79,D79)</f>
        <v>5</v>
      </c>
      <c r="CH79" s="22">
        <f t="shared" si="76"/>
        <v>5</v>
      </c>
      <c r="CI79" s="22">
        <f t="shared" si="76"/>
        <v>5</v>
      </c>
      <c r="CJ79" s="22">
        <f t="shared" si="76"/>
        <v>4</v>
      </c>
      <c r="CK79" s="22">
        <f>(' Follow Up 1st'!$CB79+' Follow Up 1st'!$CC79)/2</f>
        <v>1</v>
      </c>
      <c r="CL79" s="22">
        <f>(' Follow Up 1st'!$CD79+' Follow Up 1st'!$CE79)/2</f>
        <v>4</v>
      </c>
      <c r="CM79" s="24">
        <v>5</v>
      </c>
    </row>
    <row r="80" spans="1:91" ht="18.75" customHeight="1" x14ac:dyDescent="0.55000000000000004">
      <c r="A80" s="10">
        <v>78</v>
      </c>
      <c r="B80" s="25" t="s">
        <v>119</v>
      </c>
      <c r="C80" s="25" t="s">
        <v>112</v>
      </c>
      <c r="D80" s="12">
        <v>5</v>
      </c>
      <c r="E80" s="12">
        <v>5</v>
      </c>
      <c r="F80" s="12">
        <v>5</v>
      </c>
      <c r="G80" s="13">
        <v>5</v>
      </c>
      <c r="H80" s="13">
        <v>5</v>
      </c>
      <c r="I80" s="13">
        <v>5</v>
      </c>
      <c r="J80" s="13">
        <v>5</v>
      </c>
      <c r="K80" s="13">
        <v>5</v>
      </c>
      <c r="L80" s="15">
        <v>5</v>
      </c>
      <c r="M80" s="15">
        <v>5</v>
      </c>
      <c r="N80" s="15">
        <v>3</v>
      </c>
      <c r="O80" s="16">
        <v>0</v>
      </c>
      <c r="P80" s="15">
        <v>5</v>
      </c>
      <c r="Q80" s="12">
        <v>5</v>
      </c>
      <c r="R80" s="12">
        <v>5</v>
      </c>
      <c r="S80" s="13">
        <v>5</v>
      </c>
      <c r="T80" s="14">
        <v>5</v>
      </c>
      <c r="U80" s="14">
        <v>5</v>
      </c>
      <c r="V80" s="14">
        <v>5</v>
      </c>
      <c r="W80" s="14">
        <v>5</v>
      </c>
      <c r="X80" s="26">
        <v>45693</v>
      </c>
      <c r="Y80" s="15">
        <v>5</v>
      </c>
      <c r="Z80" s="15">
        <v>5</v>
      </c>
      <c r="AA80" s="15">
        <v>5</v>
      </c>
      <c r="AB80" s="15">
        <v>5</v>
      </c>
      <c r="AC80" s="15">
        <v>5</v>
      </c>
      <c r="AD80" s="15">
        <v>5</v>
      </c>
      <c r="AE80" s="15">
        <v>5</v>
      </c>
      <c r="AF80" s="15">
        <v>5</v>
      </c>
      <c r="AG80" s="15">
        <v>5</v>
      </c>
      <c r="AH80" s="15">
        <v>5</v>
      </c>
      <c r="AI80" s="15">
        <v>5</v>
      </c>
      <c r="AJ80" s="15">
        <v>5</v>
      </c>
      <c r="AK80" s="15">
        <v>5</v>
      </c>
      <c r="AL80" s="15">
        <v>5</v>
      </c>
      <c r="AM80" s="15">
        <v>5</v>
      </c>
      <c r="AN80" s="15">
        <v>5</v>
      </c>
      <c r="AO80" s="15">
        <v>5</v>
      </c>
      <c r="AP80" s="15">
        <v>5</v>
      </c>
      <c r="AQ80" s="15">
        <v>5</v>
      </c>
      <c r="AR80" s="15"/>
      <c r="AS80" s="15"/>
      <c r="AT80" s="15"/>
      <c r="AU80" s="16"/>
      <c r="AV80" s="15"/>
      <c r="AW80" s="15"/>
      <c r="AX80" s="15"/>
      <c r="AY80" s="16"/>
      <c r="AZ80" s="15"/>
      <c r="BA80" s="15"/>
      <c r="BB80" s="15"/>
      <c r="BC80" s="16"/>
      <c r="BD80" s="15"/>
      <c r="BE80" s="15"/>
      <c r="BF80" s="15"/>
      <c r="BG80" s="16"/>
      <c r="BH80" s="15"/>
      <c r="BI80" s="15"/>
      <c r="BJ80" s="15"/>
      <c r="BK80" s="16"/>
      <c r="BL80" s="15"/>
      <c r="BM80" s="15"/>
      <c r="BN80" s="15"/>
      <c r="BO80" s="16"/>
      <c r="BP80" s="15"/>
      <c r="BQ80" s="15"/>
      <c r="BR80" s="15"/>
      <c r="BS80" s="16"/>
      <c r="BT80" s="15"/>
      <c r="BU80" s="15"/>
      <c r="BV80" s="15"/>
      <c r="BW80" s="16"/>
      <c r="BX80" s="15"/>
      <c r="BY80" s="15"/>
      <c r="BZ80" s="15"/>
      <c r="CA80" s="17"/>
      <c r="CB80" s="19">
        <v>3</v>
      </c>
      <c r="CC80" s="19"/>
      <c r="CD80" s="19">
        <v>6</v>
      </c>
      <c r="CE80" s="19"/>
      <c r="CF80" s="20">
        <v>5</v>
      </c>
      <c r="CG80" s="21">
        <f t="shared" ref="CG80:CJ80" si="77">AVERAGE(BX80,BT80,BP80,BL80,BH80,BD80,AZ80,AV80,AR80,AN80,AJ80,AF80,AB80,X80,T80,P80,L80,H80,D80)</f>
        <v>4573.8</v>
      </c>
      <c r="CH80" s="22">
        <f t="shared" si="77"/>
        <v>5</v>
      </c>
      <c r="CI80" s="22">
        <f t="shared" si="77"/>
        <v>4.8</v>
      </c>
      <c r="CJ80" s="22">
        <f t="shared" si="77"/>
        <v>4.5</v>
      </c>
      <c r="CK80" s="22">
        <f>(' Follow Up 1st'!$CB80+' Follow Up 1st'!$CC80)/2</f>
        <v>1.5</v>
      </c>
      <c r="CL80" s="22">
        <f>(' Follow Up 1st'!$CD80+' Follow Up 1st'!$CE80)/2</f>
        <v>3</v>
      </c>
      <c r="CM80" s="24">
        <v>5</v>
      </c>
    </row>
    <row r="81" spans="1:91" ht="18.75" customHeight="1" x14ac:dyDescent="0.55000000000000004">
      <c r="A81" s="10">
        <v>79</v>
      </c>
      <c r="B81" s="25" t="s">
        <v>120</v>
      </c>
      <c r="C81" s="25" t="s">
        <v>112</v>
      </c>
      <c r="D81" s="12">
        <v>5</v>
      </c>
      <c r="E81" s="12">
        <v>5</v>
      </c>
      <c r="F81" s="12">
        <v>5</v>
      </c>
      <c r="G81" s="13">
        <v>5</v>
      </c>
      <c r="H81" s="13">
        <v>5</v>
      </c>
      <c r="I81" s="13">
        <v>5</v>
      </c>
      <c r="J81" s="13">
        <v>5</v>
      </c>
      <c r="K81" s="13">
        <v>5</v>
      </c>
      <c r="L81" s="15">
        <v>5</v>
      </c>
      <c r="M81" s="15">
        <v>5</v>
      </c>
      <c r="N81" s="15">
        <v>5</v>
      </c>
      <c r="O81" s="16">
        <v>5</v>
      </c>
      <c r="P81" s="15">
        <v>5</v>
      </c>
      <c r="Q81" s="12">
        <v>5</v>
      </c>
      <c r="R81" s="12">
        <v>5</v>
      </c>
      <c r="S81" s="13">
        <v>5</v>
      </c>
      <c r="T81" s="14">
        <v>5</v>
      </c>
      <c r="U81" s="14">
        <v>5</v>
      </c>
      <c r="V81" s="14">
        <v>5</v>
      </c>
      <c r="W81" s="14">
        <v>5</v>
      </c>
      <c r="X81" s="15">
        <v>5</v>
      </c>
      <c r="Y81" s="15">
        <v>5</v>
      </c>
      <c r="Z81" s="15">
        <v>5</v>
      </c>
      <c r="AA81" s="15">
        <v>5</v>
      </c>
      <c r="AB81" s="15">
        <v>5</v>
      </c>
      <c r="AC81" s="15">
        <v>5</v>
      </c>
      <c r="AD81" s="15">
        <v>5</v>
      </c>
      <c r="AE81" s="15">
        <v>5</v>
      </c>
      <c r="AF81" s="15">
        <v>5</v>
      </c>
      <c r="AG81" s="15">
        <v>5</v>
      </c>
      <c r="AH81" s="15">
        <v>5</v>
      </c>
      <c r="AI81" s="15">
        <v>5</v>
      </c>
      <c r="AJ81" s="15">
        <v>5</v>
      </c>
      <c r="AK81" s="15">
        <v>5</v>
      </c>
      <c r="AL81" s="15">
        <v>5</v>
      </c>
      <c r="AM81" s="15">
        <v>5</v>
      </c>
      <c r="AN81" s="15">
        <v>5</v>
      </c>
      <c r="AO81" s="15">
        <v>5</v>
      </c>
      <c r="AP81" s="15">
        <v>5</v>
      </c>
      <c r="AQ81" s="15">
        <v>5</v>
      </c>
      <c r="AR81" s="15"/>
      <c r="AS81" s="15"/>
      <c r="AT81" s="15"/>
      <c r="AU81" s="16"/>
      <c r="AV81" s="15"/>
      <c r="AW81" s="15"/>
      <c r="AX81" s="15"/>
      <c r="AY81" s="16"/>
      <c r="AZ81" s="15"/>
      <c r="BA81" s="15"/>
      <c r="BB81" s="15"/>
      <c r="BC81" s="16"/>
      <c r="BD81" s="15"/>
      <c r="BE81" s="15"/>
      <c r="BF81" s="15"/>
      <c r="BG81" s="16"/>
      <c r="BH81" s="15"/>
      <c r="BI81" s="15"/>
      <c r="BJ81" s="15"/>
      <c r="BK81" s="16"/>
      <c r="BL81" s="15"/>
      <c r="BM81" s="15"/>
      <c r="BN81" s="15"/>
      <c r="BO81" s="16"/>
      <c r="BP81" s="15"/>
      <c r="BQ81" s="15"/>
      <c r="BR81" s="15"/>
      <c r="BS81" s="16"/>
      <c r="BT81" s="15"/>
      <c r="BU81" s="15"/>
      <c r="BV81" s="15"/>
      <c r="BW81" s="16"/>
      <c r="BX81" s="15"/>
      <c r="BY81" s="15"/>
      <c r="BZ81" s="15"/>
      <c r="CA81" s="17"/>
      <c r="CB81" s="19">
        <v>5</v>
      </c>
      <c r="CC81" s="20"/>
      <c r="CD81" s="19">
        <v>9</v>
      </c>
      <c r="CE81" s="28"/>
      <c r="CF81" s="20">
        <v>5</v>
      </c>
      <c r="CG81" s="29">
        <f t="shared" ref="CG81:CJ81" si="78">AVERAGE(BX81,BT81,BP81,BL81,BH81,BD81,AZ81,AV81,AR81,AN81,AJ81,AF81,AB81,X81,T81,P81,L81,H81,D81)</f>
        <v>5</v>
      </c>
      <c r="CH81" s="22">
        <f t="shared" si="78"/>
        <v>5</v>
      </c>
      <c r="CI81" s="22">
        <f t="shared" si="78"/>
        <v>5</v>
      </c>
      <c r="CJ81" s="22">
        <f t="shared" si="78"/>
        <v>5</v>
      </c>
      <c r="CK81" s="22">
        <f>(' Follow Up 1st'!$CB81+' Follow Up 1st'!$CC81)/2</f>
        <v>2.5</v>
      </c>
      <c r="CL81" s="22">
        <f>(' Follow Up 1st'!$CD81+' Follow Up 1st'!$CE81)/2</f>
        <v>4.5</v>
      </c>
      <c r="CM81" s="24">
        <v>5</v>
      </c>
    </row>
    <row r="82" spans="1:91" ht="18.75" customHeight="1" x14ac:dyDescent="0.55000000000000004">
      <c r="A82" s="10">
        <v>80</v>
      </c>
      <c r="B82" s="25" t="s">
        <v>121</v>
      </c>
      <c r="C82" s="25" t="s">
        <v>112</v>
      </c>
      <c r="D82" s="12">
        <v>5</v>
      </c>
      <c r="E82" s="12">
        <v>5</v>
      </c>
      <c r="F82" s="12">
        <v>5</v>
      </c>
      <c r="G82" s="13">
        <v>5</v>
      </c>
      <c r="H82" s="13">
        <v>5</v>
      </c>
      <c r="I82" s="13">
        <v>5</v>
      </c>
      <c r="J82" s="13">
        <v>5</v>
      </c>
      <c r="K82" s="13">
        <v>5</v>
      </c>
      <c r="L82" s="15">
        <v>5</v>
      </c>
      <c r="M82" s="15">
        <v>5</v>
      </c>
      <c r="N82" s="15">
        <v>5</v>
      </c>
      <c r="O82" s="16">
        <v>5</v>
      </c>
      <c r="P82" s="15">
        <v>5</v>
      </c>
      <c r="Q82" s="12">
        <v>5</v>
      </c>
      <c r="R82" s="12">
        <v>5</v>
      </c>
      <c r="S82" s="13">
        <v>5</v>
      </c>
      <c r="T82" s="14">
        <v>5</v>
      </c>
      <c r="U82" s="14">
        <v>5</v>
      </c>
      <c r="V82" s="14">
        <v>5</v>
      </c>
      <c r="W82" s="14">
        <v>0</v>
      </c>
      <c r="X82" s="15">
        <v>5</v>
      </c>
      <c r="Y82" s="15">
        <v>5</v>
      </c>
      <c r="Z82" s="15">
        <v>5</v>
      </c>
      <c r="AA82" s="15">
        <v>5</v>
      </c>
      <c r="AB82" s="15">
        <v>5</v>
      </c>
      <c r="AC82" s="15">
        <v>5</v>
      </c>
      <c r="AD82" s="15">
        <v>5</v>
      </c>
      <c r="AE82" s="15">
        <v>5</v>
      </c>
      <c r="AF82" s="15">
        <v>5</v>
      </c>
      <c r="AG82" s="15">
        <v>5</v>
      </c>
      <c r="AH82" s="15">
        <v>5</v>
      </c>
      <c r="AI82" s="15">
        <v>5</v>
      </c>
      <c r="AJ82" s="15">
        <v>5</v>
      </c>
      <c r="AK82" s="15">
        <v>5</v>
      </c>
      <c r="AL82" s="15">
        <v>5</v>
      </c>
      <c r="AM82" s="15">
        <v>5</v>
      </c>
      <c r="AN82" s="15">
        <v>5</v>
      </c>
      <c r="AO82" s="15">
        <v>5</v>
      </c>
      <c r="AP82" s="15">
        <v>5</v>
      </c>
      <c r="AQ82" s="15">
        <v>5</v>
      </c>
      <c r="AR82" s="15"/>
      <c r="AS82" s="15"/>
      <c r="AT82" s="15"/>
      <c r="AU82" s="16"/>
      <c r="AV82" s="15"/>
      <c r="AW82" s="15"/>
      <c r="AX82" s="15"/>
      <c r="AY82" s="16"/>
      <c r="AZ82" s="15"/>
      <c r="BA82" s="15"/>
      <c r="BB82" s="15"/>
      <c r="BC82" s="16"/>
      <c r="BD82" s="15"/>
      <c r="BE82" s="15"/>
      <c r="BF82" s="15"/>
      <c r="BG82" s="16"/>
      <c r="BH82" s="15"/>
      <c r="BI82" s="15"/>
      <c r="BJ82" s="15"/>
      <c r="BK82" s="16"/>
      <c r="BL82" s="15"/>
      <c r="BM82" s="15"/>
      <c r="BN82" s="15"/>
      <c r="BO82" s="16"/>
      <c r="BP82" s="15"/>
      <c r="BQ82" s="15"/>
      <c r="BR82" s="15"/>
      <c r="BS82" s="16"/>
      <c r="BT82" s="15"/>
      <c r="BU82" s="15"/>
      <c r="BV82" s="15"/>
      <c r="BW82" s="16"/>
      <c r="BX82" s="15"/>
      <c r="BY82" s="15"/>
      <c r="BZ82" s="15"/>
      <c r="CA82" s="17"/>
      <c r="CB82" s="19">
        <v>5</v>
      </c>
      <c r="CC82" s="20"/>
      <c r="CD82" s="18">
        <v>45905</v>
      </c>
      <c r="CE82" s="28"/>
      <c r="CF82" s="20">
        <v>5</v>
      </c>
      <c r="CG82" s="29">
        <f t="shared" ref="CG82:CJ82" si="79">AVERAGE(BX82,BT82,BP82,BL82,BH82,BD82,AZ82,AV82,AR82,AN82,AJ82,AF82,AB82,X82,T82,P82,L82,H82,D82)</f>
        <v>5</v>
      </c>
      <c r="CH82" s="22">
        <f t="shared" si="79"/>
        <v>5</v>
      </c>
      <c r="CI82" s="22">
        <f t="shared" si="79"/>
        <v>5</v>
      </c>
      <c r="CJ82" s="22">
        <f t="shared" si="79"/>
        <v>4.5</v>
      </c>
      <c r="CK82" s="22">
        <f>(' Follow Up 1st'!$CB82+' Follow Up 1st'!$CC82)/2</f>
        <v>2.5</v>
      </c>
      <c r="CL82" s="23">
        <f>(' Follow Up 1st'!$CD82+' Follow Up 1st'!$CE82)/2</f>
        <v>22952.5</v>
      </c>
      <c r="CM82" s="24">
        <v>5</v>
      </c>
    </row>
    <row r="83" spans="1:91" ht="18.75" customHeight="1" x14ac:dyDescent="0.55000000000000004">
      <c r="A83" s="10">
        <v>81</v>
      </c>
      <c r="B83" s="25" t="s">
        <v>122</v>
      </c>
      <c r="C83" s="25" t="s">
        <v>112</v>
      </c>
      <c r="D83" s="12">
        <v>5</v>
      </c>
      <c r="E83" s="12">
        <v>5</v>
      </c>
      <c r="F83" s="12">
        <v>5</v>
      </c>
      <c r="G83" s="13">
        <v>5</v>
      </c>
      <c r="H83" s="13">
        <v>5</v>
      </c>
      <c r="I83" s="13">
        <v>5</v>
      </c>
      <c r="J83" s="13">
        <v>5</v>
      </c>
      <c r="K83" s="13">
        <v>5</v>
      </c>
      <c r="L83" s="15">
        <v>5</v>
      </c>
      <c r="M83" s="15">
        <v>5</v>
      </c>
      <c r="N83" s="15">
        <v>3</v>
      </c>
      <c r="O83" s="16">
        <v>5</v>
      </c>
      <c r="P83" s="15">
        <v>5</v>
      </c>
      <c r="Q83" s="12">
        <v>5</v>
      </c>
      <c r="R83" s="12">
        <v>5</v>
      </c>
      <c r="S83" s="13">
        <v>5</v>
      </c>
      <c r="T83" s="14">
        <v>5</v>
      </c>
      <c r="U83" s="14">
        <v>5</v>
      </c>
      <c r="V83" s="14">
        <v>5</v>
      </c>
      <c r="W83" s="14">
        <v>0</v>
      </c>
      <c r="X83" s="15">
        <v>5</v>
      </c>
      <c r="Y83" s="15">
        <v>5</v>
      </c>
      <c r="Z83" s="15">
        <v>5</v>
      </c>
      <c r="AA83" s="15">
        <v>5</v>
      </c>
      <c r="AB83" s="15">
        <v>5</v>
      </c>
      <c r="AC83" s="15">
        <v>5</v>
      </c>
      <c r="AD83" s="15">
        <v>5</v>
      </c>
      <c r="AE83" s="15">
        <v>5</v>
      </c>
      <c r="AF83" s="15">
        <v>5</v>
      </c>
      <c r="AG83" s="15">
        <v>5</v>
      </c>
      <c r="AH83" s="15">
        <v>5</v>
      </c>
      <c r="AI83" s="15">
        <v>5</v>
      </c>
      <c r="AJ83" s="15">
        <v>5</v>
      </c>
      <c r="AK83" s="15">
        <v>5</v>
      </c>
      <c r="AL83" s="15">
        <v>5</v>
      </c>
      <c r="AM83" s="15">
        <v>5</v>
      </c>
      <c r="AN83" s="15">
        <v>5</v>
      </c>
      <c r="AO83" s="15">
        <v>5</v>
      </c>
      <c r="AP83" s="15">
        <v>5</v>
      </c>
      <c r="AQ83" s="15">
        <v>5</v>
      </c>
      <c r="AR83" s="30"/>
      <c r="AS83" s="30"/>
      <c r="AT83" s="30"/>
      <c r="AU83" s="31"/>
      <c r="AV83" s="30"/>
      <c r="AW83" s="30"/>
      <c r="AX83" s="30"/>
      <c r="AY83" s="31"/>
      <c r="AZ83" s="30"/>
      <c r="BA83" s="30"/>
      <c r="BB83" s="30"/>
      <c r="BC83" s="31"/>
      <c r="BD83" s="30"/>
      <c r="BE83" s="30"/>
      <c r="BF83" s="30"/>
      <c r="BG83" s="31"/>
      <c r="BH83" s="30"/>
      <c r="BI83" s="30"/>
      <c r="BJ83" s="30"/>
      <c r="BK83" s="31"/>
      <c r="BL83" s="30"/>
      <c r="BM83" s="30"/>
      <c r="BN83" s="30"/>
      <c r="BO83" s="31"/>
      <c r="BP83" s="30"/>
      <c r="BQ83" s="30"/>
      <c r="BR83" s="30"/>
      <c r="BS83" s="31"/>
      <c r="BT83" s="30"/>
      <c r="BU83" s="30"/>
      <c r="BV83" s="30"/>
      <c r="BW83" s="31"/>
      <c r="BX83" s="30"/>
      <c r="BY83" s="30"/>
      <c r="BZ83" s="30"/>
      <c r="CA83" s="32"/>
      <c r="CB83" s="19">
        <v>2</v>
      </c>
      <c r="CC83" s="20"/>
      <c r="CD83" s="18">
        <v>45721</v>
      </c>
      <c r="CE83" s="28"/>
      <c r="CF83" s="20">
        <v>5</v>
      </c>
      <c r="CG83" s="29">
        <f t="shared" ref="CG83:CJ83" si="80">AVERAGE(BX83,BT83,BP83,BL83,BH83,BD83,AZ83,AV83,AR83,AN83,AJ83,AF83,AB83,X83,T83,P83,L83,H83,D83)</f>
        <v>5</v>
      </c>
      <c r="CH83" s="22">
        <f t="shared" si="80"/>
        <v>5</v>
      </c>
      <c r="CI83" s="22">
        <f t="shared" si="80"/>
        <v>4.8</v>
      </c>
      <c r="CJ83" s="22">
        <f t="shared" si="80"/>
        <v>4.5</v>
      </c>
      <c r="CK83" s="22">
        <f>(' Follow Up 1st'!$CB83+' Follow Up 1st'!$CC83)/2</f>
        <v>1</v>
      </c>
      <c r="CL83" s="23">
        <f>(' Follow Up 1st'!$CD83+' Follow Up 1st'!$CE83)/2</f>
        <v>22860.5</v>
      </c>
      <c r="CM83" s="24">
        <v>5</v>
      </c>
    </row>
    <row r="84" spans="1:91" ht="18.75" customHeight="1" x14ac:dyDescent="0.55000000000000004">
      <c r="A84" s="10">
        <v>82</v>
      </c>
      <c r="B84" s="25" t="s">
        <v>123</v>
      </c>
      <c r="C84" s="25" t="s">
        <v>112</v>
      </c>
      <c r="D84" s="12">
        <v>5</v>
      </c>
      <c r="E84" s="12">
        <v>5</v>
      </c>
      <c r="F84" s="12">
        <v>5</v>
      </c>
      <c r="G84" s="13">
        <v>5</v>
      </c>
      <c r="H84" s="13">
        <v>5</v>
      </c>
      <c r="I84" s="13">
        <v>5</v>
      </c>
      <c r="J84" s="13">
        <v>5</v>
      </c>
      <c r="K84" s="13">
        <v>5</v>
      </c>
      <c r="L84" s="15">
        <v>5</v>
      </c>
      <c r="M84" s="15">
        <v>3</v>
      </c>
      <c r="N84" s="15">
        <v>3</v>
      </c>
      <c r="O84" s="16">
        <v>0</v>
      </c>
      <c r="P84" s="15">
        <v>5</v>
      </c>
      <c r="Q84" s="12">
        <v>5</v>
      </c>
      <c r="R84" s="12">
        <v>5</v>
      </c>
      <c r="S84" s="13">
        <v>5</v>
      </c>
      <c r="T84" s="14">
        <v>5</v>
      </c>
      <c r="U84" s="14">
        <v>5</v>
      </c>
      <c r="V84" s="14">
        <v>5</v>
      </c>
      <c r="W84" s="14">
        <v>5</v>
      </c>
      <c r="X84" s="15">
        <v>5</v>
      </c>
      <c r="Y84" s="15">
        <v>5</v>
      </c>
      <c r="Z84" s="15">
        <v>5</v>
      </c>
      <c r="AA84" s="15">
        <v>5</v>
      </c>
      <c r="AB84" s="15">
        <v>5</v>
      </c>
      <c r="AC84" s="15">
        <v>5</v>
      </c>
      <c r="AD84" s="15">
        <v>5</v>
      </c>
      <c r="AE84" s="15">
        <v>5</v>
      </c>
      <c r="AF84" s="15">
        <v>5</v>
      </c>
      <c r="AG84" s="15">
        <v>5</v>
      </c>
      <c r="AH84" s="15">
        <v>5</v>
      </c>
      <c r="AI84" s="15">
        <v>5</v>
      </c>
      <c r="AJ84" s="15">
        <v>5</v>
      </c>
      <c r="AK84" s="15">
        <v>5</v>
      </c>
      <c r="AL84" s="15">
        <v>5</v>
      </c>
      <c r="AM84" s="15">
        <v>5</v>
      </c>
      <c r="AN84" s="15">
        <v>5</v>
      </c>
      <c r="AO84" s="15">
        <v>5</v>
      </c>
      <c r="AP84" s="15">
        <v>5</v>
      </c>
      <c r="AQ84" s="15">
        <v>5</v>
      </c>
      <c r="AR84" s="30"/>
      <c r="AS84" s="30"/>
      <c r="AT84" s="30"/>
      <c r="AU84" s="31"/>
      <c r="AV84" s="30"/>
      <c r="AW84" s="30"/>
      <c r="AX84" s="30"/>
      <c r="AY84" s="31"/>
      <c r="AZ84" s="30"/>
      <c r="BA84" s="30"/>
      <c r="BB84" s="30"/>
      <c r="BC84" s="31"/>
      <c r="BD84" s="30"/>
      <c r="BE84" s="30"/>
      <c r="BF84" s="30"/>
      <c r="BG84" s="31"/>
      <c r="BH84" s="30"/>
      <c r="BI84" s="30"/>
      <c r="BJ84" s="30"/>
      <c r="BK84" s="31"/>
      <c r="BL84" s="30"/>
      <c r="BM84" s="30"/>
      <c r="BN84" s="30"/>
      <c r="BO84" s="31"/>
      <c r="BP84" s="30"/>
      <c r="BQ84" s="30"/>
      <c r="BR84" s="30"/>
      <c r="BS84" s="31"/>
      <c r="BT84" s="30"/>
      <c r="BU84" s="30"/>
      <c r="BV84" s="30"/>
      <c r="BW84" s="31"/>
      <c r="BX84" s="30"/>
      <c r="BY84" s="30"/>
      <c r="BZ84" s="30"/>
      <c r="CA84" s="32"/>
      <c r="CB84" s="19">
        <v>1</v>
      </c>
      <c r="CC84" s="20"/>
      <c r="CD84" s="19">
        <v>6</v>
      </c>
      <c r="CE84" s="28"/>
      <c r="CF84" s="20">
        <v>5</v>
      </c>
      <c r="CG84" s="29">
        <f t="shared" ref="CG84:CJ84" si="81">AVERAGE(BX84,BT84,BP84,BL84,BH84,BD84,AZ84,AV84,AR84,AN84,AJ84,AF84,AB84,X84,T84,P84,L84,H84,D84)</f>
        <v>5</v>
      </c>
      <c r="CH84" s="22">
        <f t="shared" si="81"/>
        <v>4.8</v>
      </c>
      <c r="CI84" s="22">
        <f t="shared" si="81"/>
        <v>4.8</v>
      </c>
      <c r="CJ84" s="22">
        <f t="shared" si="81"/>
        <v>4.5</v>
      </c>
      <c r="CK84" s="22">
        <f>(' Follow Up 1st'!$CB84+' Follow Up 1st'!$CC84)/2</f>
        <v>0.5</v>
      </c>
      <c r="CL84" s="22">
        <f>(' Follow Up 1st'!$CD84+' Follow Up 1st'!$CE84)/2</f>
        <v>3</v>
      </c>
      <c r="CM84" s="24">
        <v>5</v>
      </c>
    </row>
    <row r="85" spans="1:91" ht="18.75" customHeight="1" x14ac:dyDescent="0.55000000000000004">
      <c r="A85" s="10">
        <v>83</v>
      </c>
      <c r="B85" s="25" t="s">
        <v>124</v>
      </c>
      <c r="C85" s="25" t="s">
        <v>112</v>
      </c>
      <c r="D85" s="33">
        <v>5</v>
      </c>
      <c r="E85" s="34">
        <v>5</v>
      </c>
      <c r="F85" s="34">
        <v>5</v>
      </c>
      <c r="G85" s="35">
        <v>5</v>
      </c>
      <c r="H85" s="13">
        <v>5</v>
      </c>
      <c r="I85" s="13">
        <v>5</v>
      </c>
      <c r="J85" s="13">
        <v>5</v>
      </c>
      <c r="K85" s="13">
        <v>5</v>
      </c>
      <c r="L85" s="15">
        <v>5</v>
      </c>
      <c r="M85" s="15">
        <v>5</v>
      </c>
      <c r="N85" s="15">
        <v>5</v>
      </c>
      <c r="O85" s="16">
        <v>5</v>
      </c>
      <c r="P85" s="15">
        <v>5</v>
      </c>
      <c r="Q85" s="12">
        <v>5</v>
      </c>
      <c r="R85" s="12">
        <v>5</v>
      </c>
      <c r="S85" s="13">
        <v>5</v>
      </c>
      <c r="T85" s="14">
        <v>5</v>
      </c>
      <c r="U85" s="14">
        <v>5</v>
      </c>
      <c r="V85" s="14">
        <v>5</v>
      </c>
      <c r="W85" s="14">
        <v>5</v>
      </c>
      <c r="X85" s="15">
        <v>5</v>
      </c>
      <c r="Y85" s="15">
        <v>5</v>
      </c>
      <c r="Z85" s="15">
        <v>5</v>
      </c>
      <c r="AA85" s="15">
        <v>5</v>
      </c>
      <c r="AB85" s="15">
        <v>5</v>
      </c>
      <c r="AC85" s="15">
        <v>5</v>
      </c>
      <c r="AD85" s="15">
        <v>5</v>
      </c>
      <c r="AE85" s="15">
        <v>5</v>
      </c>
      <c r="AF85" s="15">
        <v>5</v>
      </c>
      <c r="AG85" s="15">
        <v>5</v>
      </c>
      <c r="AH85" s="15">
        <v>5</v>
      </c>
      <c r="AI85" s="15">
        <v>5</v>
      </c>
      <c r="AJ85" s="15">
        <v>5</v>
      </c>
      <c r="AK85" s="15">
        <v>5</v>
      </c>
      <c r="AL85" s="15">
        <v>5</v>
      </c>
      <c r="AM85" s="15">
        <v>5</v>
      </c>
      <c r="AN85" s="15">
        <v>5</v>
      </c>
      <c r="AO85" s="15">
        <v>5</v>
      </c>
      <c r="AP85" s="15">
        <v>5</v>
      </c>
      <c r="AQ85" s="15">
        <v>5</v>
      </c>
      <c r="AR85" s="30"/>
      <c r="AS85" s="30"/>
      <c r="AT85" s="30"/>
      <c r="AU85" s="31"/>
      <c r="AV85" s="30"/>
      <c r="AW85" s="30"/>
      <c r="AX85" s="30"/>
      <c r="AY85" s="31"/>
      <c r="AZ85" s="30"/>
      <c r="BA85" s="30"/>
      <c r="BB85" s="30"/>
      <c r="BC85" s="31"/>
      <c r="BD85" s="30"/>
      <c r="BE85" s="30"/>
      <c r="BF85" s="30"/>
      <c r="BG85" s="31"/>
      <c r="BH85" s="30"/>
      <c r="BI85" s="30"/>
      <c r="BJ85" s="30"/>
      <c r="BK85" s="31"/>
      <c r="BL85" s="30"/>
      <c r="BM85" s="30"/>
      <c r="BN85" s="30"/>
      <c r="BO85" s="31"/>
      <c r="BP85" s="30"/>
      <c r="BQ85" s="30"/>
      <c r="BR85" s="30"/>
      <c r="BS85" s="31"/>
      <c r="BT85" s="30"/>
      <c r="BU85" s="30"/>
      <c r="BV85" s="30"/>
      <c r="BW85" s="31"/>
      <c r="BX85" s="30"/>
      <c r="BY85" s="30"/>
      <c r="BZ85" s="30"/>
      <c r="CA85" s="32"/>
      <c r="CB85" s="19">
        <v>3</v>
      </c>
      <c r="CC85" s="20"/>
      <c r="CD85" s="19">
        <v>9</v>
      </c>
      <c r="CE85" s="28"/>
      <c r="CF85" s="20">
        <v>5</v>
      </c>
      <c r="CG85" s="29">
        <f t="shared" ref="CG85:CJ85" si="82">AVERAGE(BX85,BT85,BP85,BL85,BH85,BD85,AZ85,AV85,AR85,AN85,AJ85,AF85,AB85,X85,T85,P85,L85,H85,D85)</f>
        <v>5</v>
      </c>
      <c r="CH85" s="22">
        <f t="shared" si="82"/>
        <v>5</v>
      </c>
      <c r="CI85" s="22">
        <f t="shared" si="82"/>
        <v>5</v>
      </c>
      <c r="CJ85" s="22">
        <f t="shared" si="82"/>
        <v>5</v>
      </c>
      <c r="CK85" s="22">
        <f>(' Follow Up 1st'!$CB85+' Follow Up 1st'!$CC85)/2</f>
        <v>1.5</v>
      </c>
      <c r="CL85" s="22">
        <f>(' Follow Up 1st'!$CD85+' Follow Up 1st'!$CE85)/2</f>
        <v>4.5</v>
      </c>
      <c r="CM85" s="24">
        <v>5</v>
      </c>
    </row>
    <row r="86" spans="1:91" ht="18.75" customHeight="1" x14ac:dyDescent="0.55000000000000004">
      <c r="A86" s="10">
        <v>84</v>
      </c>
      <c r="B86" s="25" t="s">
        <v>125</v>
      </c>
      <c r="C86" s="25" t="s">
        <v>112</v>
      </c>
      <c r="D86" s="33">
        <v>5</v>
      </c>
      <c r="E86" s="34">
        <v>5</v>
      </c>
      <c r="F86" s="34">
        <v>5</v>
      </c>
      <c r="G86" s="35">
        <v>5</v>
      </c>
      <c r="H86" s="13">
        <v>5</v>
      </c>
      <c r="I86" s="13">
        <v>5</v>
      </c>
      <c r="J86" s="13">
        <v>5</v>
      </c>
      <c r="K86" s="13">
        <v>5</v>
      </c>
      <c r="L86" s="15">
        <v>5</v>
      </c>
      <c r="M86" s="15">
        <v>5</v>
      </c>
      <c r="N86" s="15">
        <v>5</v>
      </c>
      <c r="O86" s="16">
        <v>5</v>
      </c>
      <c r="P86" s="15">
        <v>5</v>
      </c>
      <c r="Q86" s="12">
        <v>5</v>
      </c>
      <c r="R86" s="12">
        <v>5</v>
      </c>
      <c r="S86" s="13">
        <v>5</v>
      </c>
      <c r="T86" s="14">
        <v>5</v>
      </c>
      <c r="U86" s="14">
        <v>5</v>
      </c>
      <c r="V86" s="14">
        <v>5</v>
      </c>
      <c r="W86" s="14">
        <v>5</v>
      </c>
      <c r="X86" s="15">
        <v>5</v>
      </c>
      <c r="Y86" s="15">
        <v>5</v>
      </c>
      <c r="Z86" s="15">
        <v>5</v>
      </c>
      <c r="AA86" s="15">
        <v>5</v>
      </c>
      <c r="AB86" s="15">
        <v>5</v>
      </c>
      <c r="AC86" s="15">
        <v>5</v>
      </c>
      <c r="AD86" s="15">
        <v>5</v>
      </c>
      <c r="AE86" s="15">
        <v>5</v>
      </c>
      <c r="AF86" s="15">
        <v>5</v>
      </c>
      <c r="AG86" s="15">
        <v>5</v>
      </c>
      <c r="AH86" s="15">
        <v>5</v>
      </c>
      <c r="AI86" s="15">
        <v>5</v>
      </c>
      <c r="AJ86" s="15">
        <v>5</v>
      </c>
      <c r="AK86" s="15">
        <v>5</v>
      </c>
      <c r="AL86" s="15">
        <v>5</v>
      </c>
      <c r="AM86" s="15">
        <v>5</v>
      </c>
      <c r="AN86" s="15">
        <v>5</v>
      </c>
      <c r="AO86" s="15">
        <v>5</v>
      </c>
      <c r="AP86" s="15">
        <v>5</v>
      </c>
      <c r="AQ86" s="15">
        <v>5</v>
      </c>
      <c r="AR86" s="30"/>
      <c r="AS86" s="30"/>
      <c r="AT86" s="30"/>
      <c r="AU86" s="31"/>
      <c r="AV86" s="30"/>
      <c r="AW86" s="30"/>
      <c r="AX86" s="30"/>
      <c r="AY86" s="31"/>
      <c r="AZ86" s="30"/>
      <c r="BA86" s="30"/>
      <c r="BB86" s="30"/>
      <c r="BC86" s="31"/>
      <c r="BD86" s="30"/>
      <c r="BE86" s="30"/>
      <c r="BF86" s="30"/>
      <c r="BG86" s="31"/>
      <c r="BH86" s="30"/>
      <c r="BI86" s="30"/>
      <c r="BJ86" s="30"/>
      <c r="BK86" s="31"/>
      <c r="BL86" s="30"/>
      <c r="BM86" s="30"/>
      <c r="BN86" s="30"/>
      <c r="BO86" s="31"/>
      <c r="BP86" s="30"/>
      <c r="BQ86" s="30"/>
      <c r="BR86" s="30"/>
      <c r="BS86" s="31"/>
      <c r="BT86" s="30"/>
      <c r="BU86" s="30"/>
      <c r="BV86" s="30"/>
      <c r="BW86" s="31"/>
      <c r="BX86" s="30"/>
      <c r="BY86" s="30"/>
      <c r="BZ86" s="30"/>
      <c r="CA86" s="32"/>
      <c r="CB86" s="19">
        <v>5</v>
      </c>
      <c r="CC86" s="20"/>
      <c r="CD86" s="19">
        <v>10</v>
      </c>
      <c r="CE86" s="28"/>
      <c r="CF86" s="20">
        <v>5</v>
      </c>
      <c r="CG86" s="29">
        <f t="shared" ref="CG86:CJ86" si="83">AVERAGE(BX86,BT86,BP86,BL86,BH86,BD86,AZ86,AV86,AR86,AN86,AJ86,AF86,AB86,X86,T86,P86,L86,H86,D86)</f>
        <v>5</v>
      </c>
      <c r="CH86" s="22">
        <f t="shared" si="83"/>
        <v>5</v>
      </c>
      <c r="CI86" s="22">
        <f t="shared" si="83"/>
        <v>5</v>
      </c>
      <c r="CJ86" s="22">
        <f t="shared" si="83"/>
        <v>5</v>
      </c>
      <c r="CK86" s="22">
        <f>(' Follow Up 1st'!$CB86+' Follow Up 1st'!$CC86)/2</f>
        <v>2.5</v>
      </c>
      <c r="CL86" s="22">
        <f>(' Follow Up 1st'!$CD86+' Follow Up 1st'!$CE86)/2</f>
        <v>5</v>
      </c>
      <c r="CM86" s="24">
        <v>5</v>
      </c>
    </row>
    <row r="87" spans="1:91" ht="18.75" customHeight="1" x14ac:dyDescent="0.55000000000000004">
      <c r="A87" s="10">
        <v>85</v>
      </c>
      <c r="B87" s="25" t="s">
        <v>126</v>
      </c>
      <c r="C87" s="25" t="s">
        <v>112</v>
      </c>
      <c r="D87" s="33">
        <v>5</v>
      </c>
      <c r="E87" s="34">
        <v>5</v>
      </c>
      <c r="F87" s="34">
        <v>5</v>
      </c>
      <c r="G87" s="35">
        <v>5</v>
      </c>
      <c r="H87" s="13">
        <v>5</v>
      </c>
      <c r="I87" s="13">
        <v>5</v>
      </c>
      <c r="J87" s="13">
        <v>5</v>
      </c>
      <c r="K87" s="13">
        <v>5</v>
      </c>
      <c r="L87" s="15">
        <v>5</v>
      </c>
      <c r="M87" s="15">
        <v>5</v>
      </c>
      <c r="N87" s="15">
        <v>5</v>
      </c>
      <c r="O87" s="16">
        <v>5</v>
      </c>
      <c r="P87" s="15">
        <v>5</v>
      </c>
      <c r="Q87" s="12">
        <v>5</v>
      </c>
      <c r="R87" s="12">
        <v>5</v>
      </c>
      <c r="S87" s="13">
        <v>5</v>
      </c>
      <c r="T87" s="14">
        <v>5</v>
      </c>
      <c r="U87" s="14">
        <v>5</v>
      </c>
      <c r="V87" s="14">
        <v>5</v>
      </c>
      <c r="W87" s="14">
        <v>5</v>
      </c>
      <c r="X87" s="15">
        <v>5</v>
      </c>
      <c r="Y87" s="15">
        <v>5</v>
      </c>
      <c r="Z87" s="15">
        <v>5</v>
      </c>
      <c r="AA87" s="15">
        <v>5</v>
      </c>
      <c r="AB87" s="15">
        <v>5</v>
      </c>
      <c r="AC87" s="15">
        <v>5</v>
      </c>
      <c r="AD87" s="15">
        <v>5</v>
      </c>
      <c r="AE87" s="15">
        <v>5</v>
      </c>
      <c r="AF87" s="15">
        <v>5</v>
      </c>
      <c r="AG87" s="15">
        <v>5</v>
      </c>
      <c r="AH87" s="15">
        <v>5</v>
      </c>
      <c r="AI87" s="15">
        <v>5</v>
      </c>
      <c r="AJ87" s="15">
        <v>5</v>
      </c>
      <c r="AK87" s="15">
        <v>5</v>
      </c>
      <c r="AL87" s="15">
        <v>5</v>
      </c>
      <c r="AM87" s="15">
        <v>5</v>
      </c>
      <c r="AN87" s="15">
        <v>5</v>
      </c>
      <c r="AO87" s="15">
        <v>5</v>
      </c>
      <c r="AP87" s="15">
        <v>5</v>
      </c>
      <c r="AQ87" s="15">
        <v>5</v>
      </c>
      <c r="AR87" s="30"/>
      <c r="AS87" s="30"/>
      <c r="AT87" s="30"/>
      <c r="AU87" s="31"/>
      <c r="AV87" s="30"/>
      <c r="AW87" s="30"/>
      <c r="AX87" s="30"/>
      <c r="AY87" s="31"/>
      <c r="AZ87" s="30"/>
      <c r="BA87" s="30"/>
      <c r="BB87" s="30"/>
      <c r="BC87" s="31"/>
      <c r="BD87" s="30"/>
      <c r="BE87" s="30"/>
      <c r="BF87" s="30"/>
      <c r="BG87" s="31"/>
      <c r="BH87" s="30"/>
      <c r="BI87" s="30"/>
      <c r="BJ87" s="30"/>
      <c r="BK87" s="31"/>
      <c r="BL87" s="30"/>
      <c r="BM87" s="30"/>
      <c r="BN87" s="30"/>
      <c r="BO87" s="31"/>
      <c r="BP87" s="30"/>
      <c r="BQ87" s="30"/>
      <c r="BR87" s="30"/>
      <c r="BS87" s="31"/>
      <c r="BT87" s="30"/>
      <c r="BU87" s="30"/>
      <c r="BV87" s="30"/>
      <c r="BW87" s="31"/>
      <c r="BX87" s="30"/>
      <c r="BY87" s="30"/>
      <c r="BZ87" s="30"/>
      <c r="CA87" s="32"/>
      <c r="CB87" s="19">
        <v>5</v>
      </c>
      <c r="CC87" s="20"/>
      <c r="CD87" s="19">
        <v>10</v>
      </c>
      <c r="CE87" s="28"/>
      <c r="CF87" s="20">
        <v>5</v>
      </c>
      <c r="CG87" s="29">
        <f t="shared" ref="CG87:CJ87" si="84">AVERAGE(BX87,BT87,BP87,BL87,BH87,BD87,AZ87,AV87,AR87,AN87,AJ87,AF87,AB87,X87,T87,P87,L87,H87,D87)</f>
        <v>5</v>
      </c>
      <c r="CH87" s="22">
        <f t="shared" si="84"/>
        <v>5</v>
      </c>
      <c r="CI87" s="22">
        <f t="shared" si="84"/>
        <v>5</v>
      </c>
      <c r="CJ87" s="22">
        <f t="shared" si="84"/>
        <v>5</v>
      </c>
      <c r="CK87" s="22">
        <f>(' Follow Up 1st'!$CB87+' Follow Up 1st'!$CC87)/2</f>
        <v>2.5</v>
      </c>
      <c r="CL87" s="22">
        <f>(' Follow Up 1st'!$CD87+' Follow Up 1st'!$CE87)/2</f>
        <v>5</v>
      </c>
      <c r="CM87" s="24">
        <v>5</v>
      </c>
    </row>
    <row r="88" spans="1:91" ht="18.75" customHeight="1" x14ac:dyDescent="0.55000000000000004">
      <c r="A88" s="10">
        <v>86</v>
      </c>
      <c r="B88" s="25" t="s">
        <v>127</v>
      </c>
      <c r="C88" s="25" t="s">
        <v>112</v>
      </c>
      <c r="D88" s="33">
        <v>5</v>
      </c>
      <c r="E88" s="34">
        <v>5</v>
      </c>
      <c r="F88" s="34">
        <v>5</v>
      </c>
      <c r="G88" s="35">
        <v>5</v>
      </c>
      <c r="H88" s="13">
        <v>5</v>
      </c>
      <c r="I88" s="13">
        <v>5</v>
      </c>
      <c r="J88" s="13">
        <v>5</v>
      </c>
      <c r="K88" s="13">
        <v>5</v>
      </c>
      <c r="L88" s="15">
        <v>5</v>
      </c>
      <c r="M88" s="15">
        <v>5</v>
      </c>
      <c r="N88" s="15">
        <v>5</v>
      </c>
      <c r="O88" s="16">
        <v>5</v>
      </c>
      <c r="P88" s="15">
        <v>5</v>
      </c>
      <c r="Q88" s="12">
        <v>5</v>
      </c>
      <c r="R88" s="12">
        <v>5</v>
      </c>
      <c r="S88" s="13">
        <v>5</v>
      </c>
      <c r="T88" s="14">
        <v>5</v>
      </c>
      <c r="U88" s="14">
        <v>5</v>
      </c>
      <c r="V88" s="14">
        <v>5</v>
      </c>
      <c r="W88" s="14">
        <v>5</v>
      </c>
      <c r="X88" s="15">
        <v>5</v>
      </c>
      <c r="Y88" s="15">
        <v>5</v>
      </c>
      <c r="Z88" s="15">
        <v>5</v>
      </c>
      <c r="AA88" s="15">
        <v>5</v>
      </c>
      <c r="AB88" s="15">
        <v>5</v>
      </c>
      <c r="AC88" s="15">
        <v>5</v>
      </c>
      <c r="AD88" s="15">
        <v>5</v>
      </c>
      <c r="AE88" s="15">
        <v>5</v>
      </c>
      <c r="AF88" s="15">
        <v>5</v>
      </c>
      <c r="AG88" s="15">
        <v>5</v>
      </c>
      <c r="AH88" s="15">
        <v>5</v>
      </c>
      <c r="AI88" s="15">
        <v>5</v>
      </c>
      <c r="AJ88" s="15">
        <v>5</v>
      </c>
      <c r="AK88" s="15">
        <v>5</v>
      </c>
      <c r="AL88" s="15">
        <v>5</v>
      </c>
      <c r="AM88" s="15">
        <v>5</v>
      </c>
      <c r="AN88" s="15">
        <v>5</v>
      </c>
      <c r="AO88" s="15">
        <v>5</v>
      </c>
      <c r="AP88" s="15">
        <v>5</v>
      </c>
      <c r="AQ88" s="15">
        <v>5</v>
      </c>
      <c r="AR88" s="30"/>
      <c r="AS88" s="30"/>
      <c r="AT88" s="30"/>
      <c r="AU88" s="31"/>
      <c r="AV88" s="30"/>
      <c r="AW88" s="30"/>
      <c r="AX88" s="30"/>
      <c r="AY88" s="31"/>
      <c r="AZ88" s="30"/>
      <c r="BA88" s="30"/>
      <c r="BB88" s="30"/>
      <c r="BC88" s="31"/>
      <c r="BD88" s="30"/>
      <c r="BE88" s="30"/>
      <c r="BF88" s="30"/>
      <c r="BG88" s="31"/>
      <c r="BH88" s="30"/>
      <c r="BI88" s="30"/>
      <c r="BJ88" s="30"/>
      <c r="BK88" s="31"/>
      <c r="BL88" s="30"/>
      <c r="BM88" s="30"/>
      <c r="BN88" s="30"/>
      <c r="BO88" s="31"/>
      <c r="BP88" s="30"/>
      <c r="BQ88" s="30"/>
      <c r="BR88" s="30"/>
      <c r="BS88" s="31"/>
      <c r="BT88" s="30"/>
      <c r="BU88" s="30"/>
      <c r="BV88" s="30"/>
      <c r="BW88" s="31"/>
      <c r="BX88" s="30"/>
      <c r="BY88" s="30"/>
      <c r="BZ88" s="30"/>
      <c r="CA88" s="32"/>
      <c r="CB88" s="19">
        <v>3</v>
      </c>
      <c r="CC88" s="20"/>
      <c r="CD88" s="19">
        <v>9</v>
      </c>
      <c r="CE88" s="28"/>
      <c r="CF88" s="20">
        <v>5</v>
      </c>
      <c r="CG88" s="29">
        <f t="shared" ref="CG88:CJ88" si="85">AVERAGE(BX88,BT88,BP88,BL88,BH88,BD88,AZ88,AV88,AR88,AN88,AJ88,AF88,AB88,X88,T88,P88,L88,H88,D88)</f>
        <v>5</v>
      </c>
      <c r="CH88" s="22">
        <f t="shared" si="85"/>
        <v>5</v>
      </c>
      <c r="CI88" s="22">
        <f t="shared" si="85"/>
        <v>5</v>
      </c>
      <c r="CJ88" s="22">
        <f t="shared" si="85"/>
        <v>5</v>
      </c>
      <c r="CK88" s="22">
        <f>(' Follow Up 1st'!$CB88+' Follow Up 1st'!$CC88)/2</f>
        <v>1.5</v>
      </c>
      <c r="CL88" s="22">
        <f>(' Follow Up 1st'!$CD88+' Follow Up 1st'!$CE88)/2</f>
        <v>4.5</v>
      </c>
      <c r="CM88" s="24">
        <v>5</v>
      </c>
    </row>
    <row r="89" spans="1:91" ht="18.75" customHeight="1" x14ac:dyDescent="0.55000000000000004">
      <c r="A89" s="10">
        <v>87</v>
      </c>
      <c r="B89" s="25" t="s">
        <v>128</v>
      </c>
      <c r="C89" s="25" t="s">
        <v>112</v>
      </c>
      <c r="D89" s="33">
        <v>5</v>
      </c>
      <c r="E89" s="34">
        <v>5</v>
      </c>
      <c r="F89" s="34">
        <v>5</v>
      </c>
      <c r="G89" s="35">
        <v>5</v>
      </c>
      <c r="H89" s="13">
        <v>5</v>
      </c>
      <c r="I89" s="13">
        <v>5</v>
      </c>
      <c r="J89" s="13">
        <v>5</v>
      </c>
      <c r="K89" s="13">
        <v>5</v>
      </c>
      <c r="L89" s="15">
        <v>5</v>
      </c>
      <c r="M89" s="15">
        <v>5</v>
      </c>
      <c r="N89" s="15">
        <v>5</v>
      </c>
      <c r="O89" s="16">
        <v>5</v>
      </c>
      <c r="P89" s="15">
        <v>5</v>
      </c>
      <c r="Q89" s="12">
        <v>5</v>
      </c>
      <c r="R89" s="12">
        <v>5</v>
      </c>
      <c r="S89" s="13">
        <v>5</v>
      </c>
      <c r="T89" s="14">
        <v>5</v>
      </c>
      <c r="U89" s="14">
        <v>5</v>
      </c>
      <c r="V89" s="14">
        <v>5</v>
      </c>
      <c r="W89" s="14">
        <v>5</v>
      </c>
      <c r="X89" s="15">
        <v>5</v>
      </c>
      <c r="Y89" s="15">
        <v>5</v>
      </c>
      <c r="Z89" s="15">
        <v>5</v>
      </c>
      <c r="AA89" s="15">
        <v>5</v>
      </c>
      <c r="AB89" s="15">
        <v>5</v>
      </c>
      <c r="AC89" s="15">
        <v>5</v>
      </c>
      <c r="AD89" s="15">
        <v>5</v>
      </c>
      <c r="AE89" s="15">
        <v>5</v>
      </c>
      <c r="AF89" s="15">
        <v>5</v>
      </c>
      <c r="AG89" s="15">
        <v>5</v>
      </c>
      <c r="AH89" s="15">
        <v>5</v>
      </c>
      <c r="AI89" s="15">
        <v>5</v>
      </c>
      <c r="AJ89" s="15">
        <v>5</v>
      </c>
      <c r="AK89" s="15">
        <v>5</v>
      </c>
      <c r="AL89" s="15">
        <v>5</v>
      </c>
      <c r="AM89" s="15">
        <v>5</v>
      </c>
      <c r="AN89" s="15">
        <v>5</v>
      </c>
      <c r="AO89" s="15">
        <v>5</v>
      </c>
      <c r="AP89" s="15">
        <v>5</v>
      </c>
      <c r="AQ89" s="15">
        <v>5</v>
      </c>
      <c r="AR89" s="30"/>
      <c r="AS89" s="30"/>
      <c r="AT89" s="30"/>
      <c r="AU89" s="31"/>
      <c r="AV89" s="30"/>
      <c r="AW89" s="30"/>
      <c r="AX89" s="30"/>
      <c r="AY89" s="31"/>
      <c r="AZ89" s="30"/>
      <c r="BA89" s="30"/>
      <c r="BB89" s="30"/>
      <c r="BC89" s="31"/>
      <c r="BD89" s="30"/>
      <c r="BE89" s="30"/>
      <c r="BF89" s="30"/>
      <c r="BG89" s="31"/>
      <c r="BH89" s="30"/>
      <c r="BI89" s="30"/>
      <c r="BJ89" s="30"/>
      <c r="BK89" s="31"/>
      <c r="BL89" s="30"/>
      <c r="BM89" s="30"/>
      <c r="BN89" s="30"/>
      <c r="BO89" s="31"/>
      <c r="BP89" s="30"/>
      <c r="BQ89" s="30"/>
      <c r="BR89" s="30"/>
      <c r="BS89" s="31"/>
      <c r="BT89" s="30"/>
      <c r="BU89" s="30"/>
      <c r="BV89" s="30"/>
      <c r="BW89" s="31"/>
      <c r="BX89" s="30"/>
      <c r="BY89" s="30"/>
      <c r="BZ89" s="30"/>
      <c r="CA89" s="32"/>
      <c r="CB89" s="19">
        <v>4</v>
      </c>
      <c r="CC89" s="20"/>
      <c r="CD89" s="18">
        <v>45874</v>
      </c>
      <c r="CE89" s="20"/>
      <c r="CF89" s="20">
        <v>5</v>
      </c>
      <c r="CG89" s="29">
        <f t="shared" ref="CG89:CJ89" si="86">AVERAGE(BX89,BT89,BP89,BL89,BH89,BD89,AZ89,AV89,AR89,AN89,AJ89,AF89,AB89,X89,T89,P89,L89,H89,D89)</f>
        <v>5</v>
      </c>
      <c r="CH89" s="22">
        <f t="shared" si="86"/>
        <v>5</v>
      </c>
      <c r="CI89" s="22">
        <f t="shared" si="86"/>
        <v>5</v>
      </c>
      <c r="CJ89" s="22">
        <f t="shared" si="86"/>
        <v>5</v>
      </c>
      <c r="CK89" s="22">
        <f>(' Follow Up 1st'!$CB89+' Follow Up 1st'!$CC89)/2</f>
        <v>2</v>
      </c>
      <c r="CL89" s="23">
        <f>(' Follow Up 1st'!$CD89+' Follow Up 1st'!$CE89)/2</f>
        <v>22937</v>
      </c>
      <c r="CM89" s="24">
        <v>5</v>
      </c>
    </row>
    <row r="90" spans="1:91" ht="18.75" customHeight="1" x14ac:dyDescent="0.55000000000000004">
      <c r="A90" s="10">
        <v>88</v>
      </c>
      <c r="B90" s="25" t="s">
        <v>129</v>
      </c>
      <c r="C90" s="25" t="s">
        <v>112</v>
      </c>
      <c r="D90" s="33">
        <v>5</v>
      </c>
      <c r="E90" s="34">
        <v>5</v>
      </c>
      <c r="F90" s="34">
        <v>5</v>
      </c>
      <c r="G90" s="35">
        <v>5</v>
      </c>
      <c r="H90" s="13">
        <v>5</v>
      </c>
      <c r="I90" s="13">
        <v>5</v>
      </c>
      <c r="J90" s="13">
        <v>5</v>
      </c>
      <c r="K90" s="13">
        <v>5</v>
      </c>
      <c r="L90" s="15">
        <v>5</v>
      </c>
      <c r="M90" s="15">
        <v>5</v>
      </c>
      <c r="N90" s="15">
        <v>5</v>
      </c>
      <c r="O90" s="16">
        <v>5</v>
      </c>
      <c r="P90" s="15">
        <v>5</v>
      </c>
      <c r="Q90" s="12">
        <v>5</v>
      </c>
      <c r="R90" s="12">
        <v>5</v>
      </c>
      <c r="S90" s="13">
        <v>5</v>
      </c>
      <c r="T90" s="14">
        <v>5</v>
      </c>
      <c r="U90" s="14">
        <v>5</v>
      </c>
      <c r="V90" s="14">
        <v>5</v>
      </c>
      <c r="W90" s="14">
        <v>5</v>
      </c>
      <c r="X90" s="15">
        <v>5</v>
      </c>
      <c r="Y90" s="15">
        <v>5</v>
      </c>
      <c r="Z90" s="15">
        <v>5</v>
      </c>
      <c r="AA90" s="15">
        <v>5</v>
      </c>
      <c r="AB90" s="15">
        <v>5</v>
      </c>
      <c r="AC90" s="15">
        <v>5</v>
      </c>
      <c r="AD90" s="15">
        <v>5</v>
      </c>
      <c r="AE90" s="15">
        <v>5</v>
      </c>
      <c r="AF90" s="15">
        <v>5</v>
      </c>
      <c r="AG90" s="15">
        <v>5</v>
      </c>
      <c r="AH90" s="15">
        <v>5</v>
      </c>
      <c r="AI90" s="15">
        <v>5</v>
      </c>
      <c r="AJ90" s="15">
        <v>5</v>
      </c>
      <c r="AK90" s="15">
        <v>5</v>
      </c>
      <c r="AL90" s="15">
        <v>5</v>
      </c>
      <c r="AM90" s="15">
        <v>5</v>
      </c>
      <c r="AN90" s="15">
        <v>5</v>
      </c>
      <c r="AO90" s="15">
        <v>5</v>
      </c>
      <c r="AP90" s="15">
        <v>5</v>
      </c>
      <c r="AQ90" s="15">
        <v>5</v>
      </c>
      <c r="AR90" s="30"/>
      <c r="AS90" s="30"/>
      <c r="AT90" s="30"/>
      <c r="AU90" s="31"/>
      <c r="AV90" s="30"/>
      <c r="AW90" s="30"/>
      <c r="AX90" s="30"/>
      <c r="AY90" s="31"/>
      <c r="AZ90" s="30"/>
      <c r="BA90" s="30"/>
      <c r="BB90" s="30"/>
      <c r="BC90" s="31"/>
      <c r="BD90" s="30"/>
      <c r="BE90" s="30"/>
      <c r="BF90" s="30"/>
      <c r="BG90" s="31"/>
      <c r="BH90" s="30"/>
      <c r="BI90" s="30"/>
      <c r="BJ90" s="30"/>
      <c r="BK90" s="31"/>
      <c r="BL90" s="30"/>
      <c r="BM90" s="30"/>
      <c r="BN90" s="30"/>
      <c r="BO90" s="31"/>
      <c r="BP90" s="30"/>
      <c r="BQ90" s="30"/>
      <c r="BR90" s="30"/>
      <c r="BS90" s="31"/>
      <c r="BT90" s="30"/>
      <c r="BU90" s="30"/>
      <c r="BV90" s="30"/>
      <c r="BW90" s="31"/>
      <c r="BX90" s="30"/>
      <c r="BY90" s="30"/>
      <c r="BZ90" s="30"/>
      <c r="CA90" s="32"/>
      <c r="CB90" s="19">
        <v>5</v>
      </c>
      <c r="CC90" s="20"/>
      <c r="CD90" s="19">
        <v>10</v>
      </c>
      <c r="CE90" s="20"/>
      <c r="CF90" s="20">
        <v>5</v>
      </c>
      <c r="CG90" s="29">
        <f t="shared" ref="CG90:CJ90" si="87">AVERAGE(BX90,BT90,BP90,BL90,BH90,BD90,AZ90,AV90,AR90,AN90,AJ90,AF90,AB90,X90,T90,P90,L90,H90,D90)</f>
        <v>5</v>
      </c>
      <c r="CH90" s="22">
        <f t="shared" si="87"/>
        <v>5</v>
      </c>
      <c r="CI90" s="22">
        <f t="shared" si="87"/>
        <v>5</v>
      </c>
      <c r="CJ90" s="22">
        <f t="shared" si="87"/>
        <v>5</v>
      </c>
      <c r="CK90" s="22">
        <f>(' Follow Up 1st'!$CB90+' Follow Up 1st'!$CC90)/2</f>
        <v>2.5</v>
      </c>
      <c r="CL90" s="22">
        <f>(' Follow Up 1st'!$CD90+' Follow Up 1st'!$CE90)/2</f>
        <v>5</v>
      </c>
      <c r="CM90" s="24">
        <v>5</v>
      </c>
    </row>
    <row r="91" spans="1:91" ht="18.75" customHeight="1" x14ac:dyDescent="0.55000000000000004">
      <c r="A91" s="10">
        <v>89</v>
      </c>
      <c r="B91" s="25" t="s">
        <v>130</v>
      </c>
      <c r="C91" s="25" t="s">
        <v>131</v>
      </c>
      <c r="D91" s="33">
        <v>5</v>
      </c>
      <c r="E91" s="34">
        <v>5</v>
      </c>
      <c r="F91" s="34">
        <v>5</v>
      </c>
      <c r="G91" s="35">
        <v>5</v>
      </c>
      <c r="H91" s="13">
        <v>5</v>
      </c>
      <c r="I91" s="13">
        <v>5</v>
      </c>
      <c r="J91" s="13">
        <v>5</v>
      </c>
      <c r="K91" s="13">
        <v>5</v>
      </c>
      <c r="L91" s="15">
        <v>5</v>
      </c>
      <c r="M91" s="15">
        <v>5</v>
      </c>
      <c r="N91" s="15">
        <v>5</v>
      </c>
      <c r="O91" s="16">
        <v>5</v>
      </c>
      <c r="P91" s="36">
        <v>5</v>
      </c>
      <c r="Q91" s="36">
        <v>5</v>
      </c>
      <c r="R91" s="36">
        <v>5</v>
      </c>
      <c r="S91" s="37">
        <v>5</v>
      </c>
      <c r="T91" s="14">
        <v>5</v>
      </c>
      <c r="U91" s="14">
        <v>5</v>
      </c>
      <c r="V91" s="14">
        <v>5</v>
      </c>
      <c r="W91" s="14">
        <v>5</v>
      </c>
      <c r="X91" s="36">
        <v>5</v>
      </c>
      <c r="Y91" s="15">
        <v>5</v>
      </c>
      <c r="Z91" s="15">
        <v>5</v>
      </c>
      <c r="AA91" s="15">
        <v>5</v>
      </c>
      <c r="AB91" s="15">
        <v>5</v>
      </c>
      <c r="AC91" s="15">
        <v>5</v>
      </c>
      <c r="AD91" s="15">
        <v>5</v>
      </c>
      <c r="AE91" s="15">
        <v>5</v>
      </c>
      <c r="AF91" s="15">
        <v>5</v>
      </c>
      <c r="AG91" s="15">
        <v>5</v>
      </c>
      <c r="AH91" s="15">
        <v>5</v>
      </c>
      <c r="AI91" s="15">
        <v>5</v>
      </c>
      <c r="AJ91" s="15">
        <v>5</v>
      </c>
      <c r="AK91" s="15">
        <v>5</v>
      </c>
      <c r="AL91" s="15">
        <v>5</v>
      </c>
      <c r="AM91" s="15">
        <v>5</v>
      </c>
      <c r="AN91" s="15">
        <v>5</v>
      </c>
      <c r="AO91" s="15">
        <v>5</v>
      </c>
      <c r="AP91" s="15">
        <v>5</v>
      </c>
      <c r="AQ91" s="15">
        <v>5</v>
      </c>
      <c r="AR91" s="36">
        <v>5</v>
      </c>
      <c r="AS91" s="36">
        <v>5</v>
      </c>
      <c r="AT91" s="36">
        <v>5</v>
      </c>
      <c r="AU91" s="36">
        <v>5</v>
      </c>
      <c r="AV91" s="30"/>
      <c r="AW91" s="30"/>
      <c r="AX91" s="30"/>
      <c r="AY91" s="31"/>
      <c r="AZ91" s="30"/>
      <c r="BA91" s="30"/>
      <c r="BB91" s="30"/>
      <c r="BC91" s="31"/>
      <c r="BD91" s="30"/>
      <c r="BE91" s="30"/>
      <c r="BF91" s="30"/>
      <c r="BG91" s="31"/>
      <c r="BH91" s="30"/>
      <c r="BI91" s="30"/>
      <c r="BJ91" s="30"/>
      <c r="BK91" s="31"/>
      <c r="BL91" s="30"/>
      <c r="BM91" s="30"/>
      <c r="BN91" s="30"/>
      <c r="BO91" s="31"/>
      <c r="BP91" s="30"/>
      <c r="BQ91" s="30"/>
      <c r="BR91" s="30"/>
      <c r="BS91" s="31"/>
      <c r="BT91" s="30"/>
      <c r="BU91" s="30"/>
      <c r="BV91" s="30"/>
      <c r="BW91" s="31"/>
      <c r="BX91" s="30"/>
      <c r="BY91" s="30"/>
      <c r="BZ91" s="30"/>
      <c r="CA91" s="32"/>
      <c r="CB91" s="19">
        <v>5</v>
      </c>
      <c r="CC91" s="20"/>
      <c r="CD91" s="19">
        <v>10</v>
      </c>
      <c r="CE91" s="20"/>
      <c r="CF91" s="20">
        <v>5</v>
      </c>
      <c r="CG91" s="29">
        <f t="shared" ref="CG91:CJ91" si="88">AVERAGE(BX91,BT91,BP91,BL91,BH91,BD91,AZ91,AV91,AR91,AN91,AJ91,AF91,AB91,X91,T91,P91,L91,H91,D91)</f>
        <v>5</v>
      </c>
      <c r="CH91" s="22">
        <f t="shared" si="88"/>
        <v>5</v>
      </c>
      <c r="CI91" s="22">
        <f t="shared" si="88"/>
        <v>5</v>
      </c>
      <c r="CJ91" s="22">
        <f t="shared" si="88"/>
        <v>5</v>
      </c>
      <c r="CK91" s="22">
        <f>(' Follow Up 1st'!$CB91+' Follow Up 1st'!$CC91)/2</f>
        <v>2.5</v>
      </c>
      <c r="CL91" s="22">
        <f>(' Follow Up 1st'!$CD91+' Follow Up 1st'!$CE91)/2</f>
        <v>5</v>
      </c>
      <c r="CM91" s="24">
        <v>5</v>
      </c>
    </row>
    <row r="92" spans="1:91" ht="18.75" customHeight="1" x14ac:dyDescent="0.55000000000000004">
      <c r="A92" s="10">
        <v>90</v>
      </c>
      <c r="B92" s="25" t="s">
        <v>132</v>
      </c>
      <c r="C92" s="25" t="s">
        <v>131</v>
      </c>
      <c r="D92" s="33">
        <v>5</v>
      </c>
      <c r="E92" s="34">
        <v>5</v>
      </c>
      <c r="F92" s="34">
        <v>5</v>
      </c>
      <c r="G92" s="35">
        <v>5</v>
      </c>
      <c r="H92" s="13">
        <v>5</v>
      </c>
      <c r="I92" s="13">
        <v>5</v>
      </c>
      <c r="J92" s="13">
        <v>5</v>
      </c>
      <c r="K92" s="13">
        <v>5</v>
      </c>
      <c r="L92" s="15">
        <v>5</v>
      </c>
      <c r="M92" s="15">
        <v>5</v>
      </c>
      <c r="N92" s="15">
        <v>5</v>
      </c>
      <c r="O92" s="16">
        <v>5</v>
      </c>
      <c r="P92" s="36">
        <v>5</v>
      </c>
      <c r="Q92" s="36">
        <v>5</v>
      </c>
      <c r="R92" s="36">
        <v>5</v>
      </c>
      <c r="S92" s="37">
        <v>5</v>
      </c>
      <c r="T92" s="14">
        <v>5</v>
      </c>
      <c r="U92" s="14">
        <v>5</v>
      </c>
      <c r="V92" s="14">
        <v>5</v>
      </c>
      <c r="W92" s="14">
        <v>5</v>
      </c>
      <c r="X92" s="36">
        <v>5</v>
      </c>
      <c r="Y92" s="15">
        <v>5</v>
      </c>
      <c r="Z92" s="15">
        <v>5</v>
      </c>
      <c r="AA92" s="15">
        <v>5</v>
      </c>
      <c r="AB92" s="15">
        <v>5</v>
      </c>
      <c r="AC92" s="15">
        <v>5</v>
      </c>
      <c r="AD92" s="15">
        <v>5</v>
      </c>
      <c r="AE92" s="15">
        <v>5</v>
      </c>
      <c r="AF92" s="15">
        <v>5</v>
      </c>
      <c r="AG92" s="15">
        <v>5</v>
      </c>
      <c r="AH92" s="15">
        <v>5</v>
      </c>
      <c r="AI92" s="15">
        <v>5</v>
      </c>
      <c r="AJ92" s="15">
        <v>5</v>
      </c>
      <c r="AK92" s="15">
        <v>5</v>
      </c>
      <c r="AL92" s="15">
        <v>5</v>
      </c>
      <c r="AM92" s="15">
        <v>5</v>
      </c>
      <c r="AN92" s="15">
        <v>5</v>
      </c>
      <c r="AO92" s="15">
        <v>5</v>
      </c>
      <c r="AP92" s="15">
        <v>5</v>
      </c>
      <c r="AQ92" s="15">
        <v>5</v>
      </c>
      <c r="AR92" s="36">
        <v>5</v>
      </c>
      <c r="AS92" s="36">
        <v>5</v>
      </c>
      <c r="AT92" s="36">
        <v>5</v>
      </c>
      <c r="AU92" s="36">
        <v>5</v>
      </c>
      <c r="AV92" s="30"/>
      <c r="AW92" s="30"/>
      <c r="AX92" s="30"/>
      <c r="AY92" s="31"/>
      <c r="AZ92" s="30"/>
      <c r="BA92" s="30"/>
      <c r="BB92" s="30"/>
      <c r="BC92" s="31"/>
      <c r="BD92" s="30"/>
      <c r="BE92" s="30"/>
      <c r="BF92" s="30"/>
      <c r="BG92" s="31"/>
      <c r="BH92" s="30"/>
      <c r="BI92" s="30"/>
      <c r="BJ92" s="30"/>
      <c r="BK92" s="31"/>
      <c r="BL92" s="30"/>
      <c r="BM92" s="30"/>
      <c r="BN92" s="30"/>
      <c r="BO92" s="31"/>
      <c r="BP92" s="30"/>
      <c r="BQ92" s="30"/>
      <c r="BR92" s="30"/>
      <c r="BS92" s="31"/>
      <c r="BT92" s="30"/>
      <c r="BU92" s="30"/>
      <c r="BV92" s="30"/>
      <c r="BW92" s="31"/>
      <c r="BX92" s="30"/>
      <c r="BY92" s="30"/>
      <c r="BZ92" s="30"/>
      <c r="CA92" s="32"/>
      <c r="CB92" s="19">
        <v>4</v>
      </c>
      <c r="CC92" s="20"/>
      <c r="CD92" s="19">
        <v>8</v>
      </c>
      <c r="CE92" s="20"/>
      <c r="CF92" s="20">
        <v>5</v>
      </c>
      <c r="CG92" s="29">
        <f t="shared" ref="CG92:CJ92" si="89">AVERAGE(BX92,BT92,BP92,BL92,BH92,BD92,AZ92,AV92,AR92,AN92,AJ92,AF92,AB92,X92,T92,P92,L92,H92,D92)</f>
        <v>5</v>
      </c>
      <c r="CH92" s="22">
        <f t="shared" si="89"/>
        <v>5</v>
      </c>
      <c r="CI92" s="22">
        <f t="shared" si="89"/>
        <v>5</v>
      </c>
      <c r="CJ92" s="22">
        <f t="shared" si="89"/>
        <v>5</v>
      </c>
      <c r="CK92" s="22">
        <f>(' Follow Up 1st'!$CB92+' Follow Up 1st'!$CC92)/2</f>
        <v>2</v>
      </c>
      <c r="CL92" s="22">
        <f>(' Follow Up 1st'!$CD92+' Follow Up 1st'!$CE92)/2</f>
        <v>4</v>
      </c>
      <c r="CM92" s="24">
        <v>5</v>
      </c>
    </row>
    <row r="93" spans="1:91" ht="18.75" customHeight="1" x14ac:dyDescent="0.55000000000000004">
      <c r="A93" s="10">
        <v>91</v>
      </c>
      <c r="B93" s="25" t="s">
        <v>133</v>
      </c>
      <c r="C93" s="25" t="s">
        <v>131</v>
      </c>
      <c r="D93" s="33">
        <v>5</v>
      </c>
      <c r="E93" s="34">
        <v>5</v>
      </c>
      <c r="F93" s="34">
        <v>5</v>
      </c>
      <c r="G93" s="35">
        <v>5</v>
      </c>
      <c r="H93" s="13">
        <v>5</v>
      </c>
      <c r="I93" s="13">
        <v>5</v>
      </c>
      <c r="J93" s="13">
        <v>5</v>
      </c>
      <c r="K93" s="13">
        <v>5</v>
      </c>
      <c r="L93" s="15">
        <v>5</v>
      </c>
      <c r="M93" s="15">
        <v>5</v>
      </c>
      <c r="N93" s="15">
        <v>5</v>
      </c>
      <c r="O93" s="16">
        <v>5</v>
      </c>
      <c r="P93" s="36">
        <v>5</v>
      </c>
      <c r="Q93" s="36">
        <v>5</v>
      </c>
      <c r="R93" s="36">
        <v>5</v>
      </c>
      <c r="S93" s="37">
        <v>5</v>
      </c>
      <c r="T93" s="14">
        <v>5</v>
      </c>
      <c r="U93" s="14">
        <v>5</v>
      </c>
      <c r="V93" s="14">
        <v>5</v>
      </c>
      <c r="W93" s="14">
        <v>5</v>
      </c>
      <c r="X93" s="36">
        <v>5</v>
      </c>
      <c r="Y93" s="15">
        <v>5</v>
      </c>
      <c r="Z93" s="15">
        <v>5</v>
      </c>
      <c r="AA93" s="15">
        <v>5</v>
      </c>
      <c r="AB93" s="15">
        <v>5</v>
      </c>
      <c r="AC93" s="15">
        <v>5</v>
      </c>
      <c r="AD93" s="15">
        <v>5</v>
      </c>
      <c r="AE93" s="15">
        <v>5</v>
      </c>
      <c r="AF93" s="15">
        <v>5</v>
      </c>
      <c r="AG93" s="15">
        <v>5</v>
      </c>
      <c r="AH93" s="15">
        <v>5</v>
      </c>
      <c r="AI93" s="15">
        <v>5</v>
      </c>
      <c r="AJ93" s="15">
        <v>5</v>
      </c>
      <c r="AK93" s="15">
        <v>5</v>
      </c>
      <c r="AL93" s="15">
        <v>5</v>
      </c>
      <c r="AM93" s="15">
        <v>5</v>
      </c>
      <c r="AN93" s="15">
        <v>5</v>
      </c>
      <c r="AO93" s="15">
        <v>2</v>
      </c>
      <c r="AP93" s="15">
        <v>5</v>
      </c>
      <c r="AQ93" s="15">
        <v>5</v>
      </c>
      <c r="AR93" s="36">
        <v>5</v>
      </c>
      <c r="AS93" s="36">
        <v>5</v>
      </c>
      <c r="AT93" s="36">
        <v>5</v>
      </c>
      <c r="AU93" s="36">
        <v>5</v>
      </c>
      <c r="AV93" s="30"/>
      <c r="AW93" s="30"/>
      <c r="AX93" s="30"/>
      <c r="AY93" s="31"/>
      <c r="AZ93" s="30"/>
      <c r="BA93" s="30"/>
      <c r="BB93" s="30"/>
      <c r="BC93" s="31"/>
      <c r="BD93" s="30"/>
      <c r="BE93" s="30"/>
      <c r="BF93" s="30"/>
      <c r="BG93" s="31"/>
      <c r="BH93" s="30"/>
      <c r="BI93" s="30"/>
      <c r="BJ93" s="30"/>
      <c r="BK93" s="31"/>
      <c r="BL93" s="30"/>
      <c r="BM93" s="30"/>
      <c r="BN93" s="30"/>
      <c r="BO93" s="31"/>
      <c r="BP93" s="30"/>
      <c r="BQ93" s="30"/>
      <c r="BR93" s="30"/>
      <c r="BS93" s="31"/>
      <c r="BT93" s="30"/>
      <c r="BU93" s="30"/>
      <c r="BV93" s="30"/>
      <c r="BW93" s="31"/>
      <c r="BX93" s="30"/>
      <c r="BY93" s="30"/>
      <c r="BZ93" s="30"/>
      <c r="CA93" s="32"/>
      <c r="CB93" s="19">
        <v>5</v>
      </c>
      <c r="CC93" s="20"/>
      <c r="CD93" s="19">
        <v>10</v>
      </c>
      <c r="CE93" s="20"/>
      <c r="CF93" s="20">
        <v>5</v>
      </c>
      <c r="CG93" s="29">
        <f t="shared" ref="CG93:CJ93" si="90">AVERAGE(BX93,BT93,BP93,BL93,BH93,BD93,AZ93,AV93,AR93,AN93,AJ93,AF93,AB93,X93,T93,P93,L93,H93,D93)</f>
        <v>5</v>
      </c>
      <c r="CH93" s="22">
        <f t="shared" si="90"/>
        <v>4.7272727272727275</v>
      </c>
      <c r="CI93" s="22">
        <f t="shared" si="90"/>
        <v>5</v>
      </c>
      <c r="CJ93" s="22">
        <f t="shared" si="90"/>
        <v>5</v>
      </c>
      <c r="CK93" s="22">
        <f>(' Follow Up 1st'!$CB93+' Follow Up 1st'!$CC93)/2</f>
        <v>2.5</v>
      </c>
      <c r="CL93" s="22">
        <f>(' Follow Up 1st'!$CD93+' Follow Up 1st'!$CE93)/2</f>
        <v>5</v>
      </c>
      <c r="CM93" s="24">
        <v>5</v>
      </c>
    </row>
    <row r="94" spans="1:91" ht="18.75" customHeight="1" x14ac:dyDescent="0.55000000000000004">
      <c r="A94" s="10">
        <v>92</v>
      </c>
      <c r="B94" s="25" t="s">
        <v>134</v>
      </c>
      <c r="C94" s="25" t="s">
        <v>131</v>
      </c>
      <c r="D94" s="33">
        <v>5</v>
      </c>
      <c r="E94" s="34">
        <v>5</v>
      </c>
      <c r="F94" s="34">
        <v>5</v>
      </c>
      <c r="G94" s="35">
        <v>5</v>
      </c>
      <c r="H94" s="13">
        <v>5</v>
      </c>
      <c r="I94" s="13">
        <v>5</v>
      </c>
      <c r="J94" s="13">
        <v>5</v>
      </c>
      <c r="K94" s="13">
        <v>5</v>
      </c>
      <c r="L94" s="15">
        <v>5</v>
      </c>
      <c r="M94" s="15">
        <v>5</v>
      </c>
      <c r="N94" s="15">
        <v>5</v>
      </c>
      <c r="O94" s="16">
        <v>5</v>
      </c>
      <c r="P94" s="36">
        <v>3</v>
      </c>
      <c r="Q94" s="36">
        <v>5</v>
      </c>
      <c r="R94" s="36">
        <v>5</v>
      </c>
      <c r="S94" s="37">
        <v>5</v>
      </c>
      <c r="T94" s="14">
        <v>5</v>
      </c>
      <c r="U94" s="14">
        <v>5</v>
      </c>
      <c r="V94" s="14">
        <v>5</v>
      </c>
      <c r="W94" s="14">
        <v>5</v>
      </c>
      <c r="X94" s="36">
        <v>5</v>
      </c>
      <c r="Y94" s="15">
        <v>5</v>
      </c>
      <c r="Z94" s="15">
        <v>5</v>
      </c>
      <c r="AA94" s="15">
        <v>5</v>
      </c>
      <c r="AB94" s="15">
        <v>5</v>
      </c>
      <c r="AC94" s="15">
        <v>5</v>
      </c>
      <c r="AD94" s="15">
        <v>5</v>
      </c>
      <c r="AE94" s="15">
        <v>5</v>
      </c>
      <c r="AF94" s="15">
        <v>5</v>
      </c>
      <c r="AG94" s="15">
        <v>5</v>
      </c>
      <c r="AH94" s="15">
        <v>5</v>
      </c>
      <c r="AI94" s="15">
        <v>5</v>
      </c>
      <c r="AJ94" s="15">
        <v>5</v>
      </c>
      <c r="AK94" s="15">
        <v>5</v>
      </c>
      <c r="AL94" s="15">
        <v>5</v>
      </c>
      <c r="AM94" s="15">
        <v>5</v>
      </c>
      <c r="AN94" s="15">
        <v>5</v>
      </c>
      <c r="AO94" s="15">
        <v>5</v>
      </c>
      <c r="AP94" s="15">
        <v>5</v>
      </c>
      <c r="AQ94" s="15">
        <v>5</v>
      </c>
      <c r="AR94" s="36">
        <v>5</v>
      </c>
      <c r="AS94" s="36">
        <v>5</v>
      </c>
      <c r="AT94" s="36">
        <v>5</v>
      </c>
      <c r="AU94" s="36">
        <v>5</v>
      </c>
      <c r="AV94" s="30"/>
      <c r="AW94" s="30"/>
      <c r="AX94" s="30"/>
      <c r="AY94" s="31"/>
      <c r="AZ94" s="30"/>
      <c r="BA94" s="30"/>
      <c r="BB94" s="30"/>
      <c r="BC94" s="31"/>
      <c r="BD94" s="30"/>
      <c r="BE94" s="30"/>
      <c r="BF94" s="30"/>
      <c r="BG94" s="31"/>
      <c r="BH94" s="30"/>
      <c r="BI94" s="30"/>
      <c r="BJ94" s="30"/>
      <c r="BK94" s="31"/>
      <c r="BL94" s="30"/>
      <c r="BM94" s="30"/>
      <c r="BN94" s="30"/>
      <c r="BO94" s="31"/>
      <c r="BP94" s="30"/>
      <c r="BQ94" s="30"/>
      <c r="BR94" s="30"/>
      <c r="BS94" s="31"/>
      <c r="BT94" s="30"/>
      <c r="BU94" s="30"/>
      <c r="BV94" s="30"/>
      <c r="BW94" s="31"/>
      <c r="BX94" s="30"/>
      <c r="BY94" s="30"/>
      <c r="BZ94" s="30"/>
      <c r="CA94" s="32"/>
      <c r="CB94" s="19">
        <v>5</v>
      </c>
      <c r="CC94" s="20"/>
      <c r="CD94" s="19">
        <v>6</v>
      </c>
      <c r="CE94" s="20"/>
      <c r="CF94" s="20">
        <v>5</v>
      </c>
      <c r="CG94" s="29">
        <f t="shared" ref="CG94:CJ94" si="91">AVERAGE(BX94,BT94,BP94,BL94,BH94,BD94,AZ94,AV94,AR94,AN94,AJ94,AF94,AB94,X94,T94,P94,L94,H94,D94)</f>
        <v>4.8181818181818183</v>
      </c>
      <c r="CH94" s="22">
        <f t="shared" si="91"/>
        <v>5</v>
      </c>
      <c r="CI94" s="22">
        <f t="shared" si="91"/>
        <v>5</v>
      </c>
      <c r="CJ94" s="22">
        <f t="shared" si="91"/>
        <v>5</v>
      </c>
      <c r="CK94" s="22">
        <f>(' Follow Up 1st'!$CB94+' Follow Up 1st'!$CC94)/2</f>
        <v>2.5</v>
      </c>
      <c r="CL94" s="22">
        <f>(' Follow Up 1st'!$CD94+' Follow Up 1st'!$CE94)/2</f>
        <v>3</v>
      </c>
      <c r="CM94" s="24">
        <v>5</v>
      </c>
    </row>
    <row r="95" spans="1:91" ht="18.75" customHeight="1" x14ac:dyDescent="0.55000000000000004">
      <c r="A95" s="10">
        <v>93</v>
      </c>
      <c r="B95" s="25" t="s">
        <v>135</v>
      </c>
      <c r="C95" s="25" t="s">
        <v>131</v>
      </c>
      <c r="D95" s="33">
        <v>5</v>
      </c>
      <c r="E95" s="34">
        <v>5</v>
      </c>
      <c r="F95" s="34">
        <v>5</v>
      </c>
      <c r="G95" s="35">
        <v>5</v>
      </c>
      <c r="H95" s="13">
        <v>5</v>
      </c>
      <c r="I95" s="13">
        <v>5</v>
      </c>
      <c r="J95" s="13">
        <v>5</v>
      </c>
      <c r="K95" s="13">
        <v>5</v>
      </c>
      <c r="L95" s="15">
        <v>5</v>
      </c>
      <c r="M95" s="15">
        <v>5</v>
      </c>
      <c r="N95" s="15">
        <v>5</v>
      </c>
      <c r="O95" s="16">
        <v>5</v>
      </c>
      <c r="P95" s="36">
        <v>3</v>
      </c>
      <c r="Q95" s="36">
        <v>5</v>
      </c>
      <c r="R95" s="36">
        <v>5</v>
      </c>
      <c r="S95" s="37">
        <v>5</v>
      </c>
      <c r="T95" s="14">
        <v>5</v>
      </c>
      <c r="U95" s="14">
        <v>5</v>
      </c>
      <c r="V95" s="14">
        <v>5</v>
      </c>
      <c r="W95" s="14">
        <v>5</v>
      </c>
      <c r="X95" s="36">
        <v>5</v>
      </c>
      <c r="Y95" s="15">
        <v>5</v>
      </c>
      <c r="Z95" s="15">
        <v>5</v>
      </c>
      <c r="AA95" s="15">
        <v>5</v>
      </c>
      <c r="AB95" s="15">
        <v>5</v>
      </c>
      <c r="AC95" s="15">
        <v>5</v>
      </c>
      <c r="AD95" s="15">
        <v>5</v>
      </c>
      <c r="AE95" s="15">
        <v>5</v>
      </c>
      <c r="AF95" s="15">
        <v>5</v>
      </c>
      <c r="AG95" s="15">
        <v>5</v>
      </c>
      <c r="AH95" s="15">
        <v>5</v>
      </c>
      <c r="AI95" s="15">
        <v>5</v>
      </c>
      <c r="AJ95" s="15">
        <v>5</v>
      </c>
      <c r="AK95" s="15">
        <v>5</v>
      </c>
      <c r="AL95" s="15">
        <v>5</v>
      </c>
      <c r="AM95" s="15">
        <v>5</v>
      </c>
      <c r="AN95" s="15">
        <v>5</v>
      </c>
      <c r="AO95" s="15">
        <v>5</v>
      </c>
      <c r="AP95" s="15">
        <v>5</v>
      </c>
      <c r="AQ95" s="15">
        <v>5</v>
      </c>
      <c r="AR95" s="36">
        <v>5</v>
      </c>
      <c r="AS95" s="36">
        <v>5</v>
      </c>
      <c r="AT95" s="36">
        <v>5</v>
      </c>
      <c r="AU95" s="36">
        <v>5</v>
      </c>
      <c r="AV95" s="30"/>
      <c r="AW95" s="30"/>
      <c r="AX95" s="30"/>
      <c r="AY95" s="31"/>
      <c r="AZ95" s="30"/>
      <c r="BA95" s="30"/>
      <c r="BB95" s="30"/>
      <c r="BC95" s="31"/>
      <c r="BD95" s="30"/>
      <c r="BE95" s="30"/>
      <c r="BF95" s="30"/>
      <c r="BG95" s="31"/>
      <c r="BH95" s="30"/>
      <c r="BI95" s="30"/>
      <c r="BJ95" s="30"/>
      <c r="BK95" s="31"/>
      <c r="BL95" s="30"/>
      <c r="BM95" s="30"/>
      <c r="BN95" s="30"/>
      <c r="BO95" s="31"/>
      <c r="BP95" s="30"/>
      <c r="BQ95" s="30"/>
      <c r="BR95" s="30"/>
      <c r="BS95" s="31"/>
      <c r="BT95" s="30"/>
      <c r="BU95" s="30"/>
      <c r="BV95" s="30"/>
      <c r="BW95" s="31"/>
      <c r="BX95" s="30"/>
      <c r="BY95" s="30"/>
      <c r="BZ95" s="30"/>
      <c r="CA95" s="32"/>
      <c r="CB95" s="19">
        <v>4</v>
      </c>
      <c r="CC95" s="20"/>
      <c r="CD95" s="19">
        <v>8</v>
      </c>
      <c r="CE95" s="20"/>
      <c r="CF95" s="20">
        <v>5</v>
      </c>
      <c r="CG95" s="29">
        <f t="shared" ref="CG95:CJ95" si="92">AVERAGE(BX95,BT95,BP95,BL95,BH95,BD95,AZ95,AV95,AR95,AN95,AJ95,AF95,AB95,X95,T95,P95,L95,H95,D95)</f>
        <v>4.8181818181818183</v>
      </c>
      <c r="CH95" s="22">
        <f t="shared" si="92"/>
        <v>5</v>
      </c>
      <c r="CI95" s="22">
        <f t="shared" si="92"/>
        <v>5</v>
      </c>
      <c r="CJ95" s="22">
        <f t="shared" si="92"/>
        <v>5</v>
      </c>
      <c r="CK95" s="22">
        <f>(' Follow Up 1st'!$CB95+' Follow Up 1st'!$CC95)/2</f>
        <v>2</v>
      </c>
      <c r="CL95" s="22">
        <f>(' Follow Up 1st'!$CD95+' Follow Up 1st'!$CE95)/2</f>
        <v>4</v>
      </c>
      <c r="CM95" s="24">
        <v>5</v>
      </c>
    </row>
    <row r="96" spans="1:91" ht="18.75" customHeight="1" x14ac:dyDescent="0.55000000000000004">
      <c r="A96" s="10">
        <v>94</v>
      </c>
      <c r="B96" s="25" t="s">
        <v>136</v>
      </c>
      <c r="C96" s="25" t="s">
        <v>131</v>
      </c>
      <c r="D96" s="33">
        <v>5</v>
      </c>
      <c r="E96" s="34">
        <v>5</v>
      </c>
      <c r="F96" s="34">
        <v>5</v>
      </c>
      <c r="G96" s="35">
        <v>5</v>
      </c>
      <c r="H96" s="13">
        <v>5</v>
      </c>
      <c r="I96" s="13">
        <v>5</v>
      </c>
      <c r="J96" s="13">
        <v>5</v>
      </c>
      <c r="K96" s="13">
        <v>5</v>
      </c>
      <c r="L96" s="15">
        <v>5</v>
      </c>
      <c r="M96" s="15">
        <v>5</v>
      </c>
      <c r="N96" s="15">
        <v>5</v>
      </c>
      <c r="O96" s="16">
        <v>5</v>
      </c>
      <c r="P96" s="36">
        <v>5</v>
      </c>
      <c r="Q96" s="36">
        <v>5</v>
      </c>
      <c r="R96" s="36">
        <v>5</v>
      </c>
      <c r="S96" s="37">
        <v>5</v>
      </c>
      <c r="T96" s="14">
        <v>5</v>
      </c>
      <c r="U96" s="14">
        <v>5</v>
      </c>
      <c r="V96" s="14">
        <v>5</v>
      </c>
      <c r="W96" s="14">
        <v>5</v>
      </c>
      <c r="X96" s="36">
        <v>5</v>
      </c>
      <c r="Y96" s="15">
        <v>5</v>
      </c>
      <c r="Z96" s="15">
        <v>5</v>
      </c>
      <c r="AA96" s="15">
        <v>5</v>
      </c>
      <c r="AB96" s="15">
        <v>5</v>
      </c>
      <c r="AC96" s="15">
        <v>5</v>
      </c>
      <c r="AD96" s="15">
        <v>5</v>
      </c>
      <c r="AE96" s="15">
        <v>5</v>
      </c>
      <c r="AF96" s="15">
        <v>5</v>
      </c>
      <c r="AG96" s="15">
        <v>5</v>
      </c>
      <c r="AH96" s="15">
        <v>5</v>
      </c>
      <c r="AI96" s="15">
        <v>5</v>
      </c>
      <c r="AJ96" s="15">
        <v>5</v>
      </c>
      <c r="AK96" s="15">
        <v>5</v>
      </c>
      <c r="AL96" s="15">
        <v>5</v>
      </c>
      <c r="AM96" s="15">
        <v>5</v>
      </c>
      <c r="AN96" s="15">
        <v>5</v>
      </c>
      <c r="AO96" s="15">
        <v>5</v>
      </c>
      <c r="AP96" s="15">
        <v>5</v>
      </c>
      <c r="AQ96" s="15">
        <v>5</v>
      </c>
      <c r="AR96" s="36">
        <v>5</v>
      </c>
      <c r="AS96" s="36">
        <v>5</v>
      </c>
      <c r="AT96" s="36">
        <v>5</v>
      </c>
      <c r="AU96" s="36">
        <v>5</v>
      </c>
      <c r="AV96" s="30"/>
      <c r="AW96" s="30"/>
      <c r="AX96" s="30"/>
      <c r="AY96" s="31"/>
      <c r="AZ96" s="30"/>
      <c r="BA96" s="30"/>
      <c r="BB96" s="30"/>
      <c r="BC96" s="31"/>
      <c r="BD96" s="30"/>
      <c r="BE96" s="30"/>
      <c r="BF96" s="30"/>
      <c r="BG96" s="31"/>
      <c r="BH96" s="30"/>
      <c r="BI96" s="30"/>
      <c r="BJ96" s="30"/>
      <c r="BK96" s="31"/>
      <c r="BL96" s="30"/>
      <c r="BM96" s="30"/>
      <c r="BN96" s="30"/>
      <c r="BO96" s="31"/>
      <c r="BP96" s="30"/>
      <c r="BQ96" s="30"/>
      <c r="BR96" s="30"/>
      <c r="BS96" s="31"/>
      <c r="BT96" s="30"/>
      <c r="BU96" s="30"/>
      <c r="BV96" s="30"/>
      <c r="BW96" s="31"/>
      <c r="BX96" s="30"/>
      <c r="BY96" s="30"/>
      <c r="BZ96" s="30"/>
      <c r="CA96" s="32"/>
      <c r="CB96" s="19">
        <v>3</v>
      </c>
      <c r="CC96" s="20"/>
      <c r="CD96" s="19">
        <v>9</v>
      </c>
      <c r="CE96" s="20"/>
      <c r="CF96" s="20">
        <v>5</v>
      </c>
      <c r="CG96" s="29">
        <f t="shared" ref="CG96:CJ96" si="93">AVERAGE(BX96,BT96,BP96,BL96,BH96,BD96,AZ96,AV96,AR96,AN96,AJ96,AF96,AB96,X96,T96,P96,L96,H96,D96)</f>
        <v>5</v>
      </c>
      <c r="CH96" s="22">
        <f t="shared" si="93"/>
        <v>5</v>
      </c>
      <c r="CI96" s="22">
        <f t="shared" si="93"/>
        <v>5</v>
      </c>
      <c r="CJ96" s="22">
        <f t="shared" si="93"/>
        <v>5</v>
      </c>
      <c r="CK96" s="22">
        <f>(' Follow Up 1st'!$CB96+' Follow Up 1st'!$CC96)/2</f>
        <v>1.5</v>
      </c>
      <c r="CL96" s="22">
        <f>(' Follow Up 1st'!$CD96+' Follow Up 1st'!$CE96)/2</f>
        <v>4.5</v>
      </c>
      <c r="CM96" s="24">
        <v>5</v>
      </c>
    </row>
    <row r="97" spans="1:91" ht="18.75" customHeight="1" x14ac:dyDescent="0.55000000000000004">
      <c r="A97" s="10">
        <v>95</v>
      </c>
      <c r="B97" s="25" t="s">
        <v>137</v>
      </c>
      <c r="C97" s="25" t="s">
        <v>131</v>
      </c>
      <c r="D97" s="33">
        <v>5</v>
      </c>
      <c r="E97" s="34">
        <v>5</v>
      </c>
      <c r="F97" s="34">
        <v>5</v>
      </c>
      <c r="G97" s="35">
        <v>5</v>
      </c>
      <c r="H97" s="13">
        <v>5</v>
      </c>
      <c r="I97" s="13">
        <v>5</v>
      </c>
      <c r="J97" s="13">
        <v>5</v>
      </c>
      <c r="K97" s="13">
        <v>5</v>
      </c>
      <c r="L97" s="15">
        <v>5</v>
      </c>
      <c r="M97" s="15">
        <v>5</v>
      </c>
      <c r="N97" s="15">
        <v>5</v>
      </c>
      <c r="O97" s="16">
        <v>5</v>
      </c>
      <c r="P97" s="36">
        <v>5</v>
      </c>
      <c r="Q97" s="36">
        <v>5</v>
      </c>
      <c r="R97" s="36">
        <v>5</v>
      </c>
      <c r="S97" s="37">
        <v>5</v>
      </c>
      <c r="T97" s="14">
        <v>5</v>
      </c>
      <c r="U97" s="14">
        <v>5</v>
      </c>
      <c r="V97" s="14">
        <v>5</v>
      </c>
      <c r="W97" s="14">
        <v>5</v>
      </c>
      <c r="X97" s="36">
        <v>5</v>
      </c>
      <c r="Y97" s="15">
        <v>5</v>
      </c>
      <c r="Z97" s="15">
        <v>5</v>
      </c>
      <c r="AA97" s="15">
        <v>5</v>
      </c>
      <c r="AB97" s="15">
        <v>5</v>
      </c>
      <c r="AC97" s="15">
        <v>5</v>
      </c>
      <c r="AD97" s="15">
        <v>5</v>
      </c>
      <c r="AE97" s="15">
        <v>5</v>
      </c>
      <c r="AF97" s="15">
        <v>5</v>
      </c>
      <c r="AG97" s="15">
        <v>5</v>
      </c>
      <c r="AH97" s="15">
        <v>5</v>
      </c>
      <c r="AI97" s="15">
        <v>5</v>
      </c>
      <c r="AJ97" s="15">
        <v>5</v>
      </c>
      <c r="AK97" s="15">
        <v>5</v>
      </c>
      <c r="AL97" s="15">
        <v>5</v>
      </c>
      <c r="AM97" s="15">
        <v>5</v>
      </c>
      <c r="AN97" s="15">
        <v>5</v>
      </c>
      <c r="AO97" s="15">
        <v>5</v>
      </c>
      <c r="AP97" s="15">
        <v>5</v>
      </c>
      <c r="AQ97" s="15">
        <v>5</v>
      </c>
      <c r="AR97" s="36">
        <v>5</v>
      </c>
      <c r="AS97" s="36">
        <v>5</v>
      </c>
      <c r="AT97" s="36">
        <v>5</v>
      </c>
      <c r="AU97" s="36">
        <v>5</v>
      </c>
      <c r="AV97" s="30"/>
      <c r="AW97" s="30"/>
      <c r="AX97" s="30"/>
      <c r="AY97" s="31"/>
      <c r="AZ97" s="30"/>
      <c r="BA97" s="30"/>
      <c r="BB97" s="30"/>
      <c r="BC97" s="31"/>
      <c r="BD97" s="30"/>
      <c r="BE97" s="30"/>
      <c r="BF97" s="30"/>
      <c r="BG97" s="31"/>
      <c r="BH97" s="30"/>
      <c r="BI97" s="30"/>
      <c r="BJ97" s="30"/>
      <c r="BK97" s="31"/>
      <c r="BL97" s="30"/>
      <c r="BM97" s="30"/>
      <c r="BN97" s="30"/>
      <c r="BO97" s="31"/>
      <c r="BP97" s="30"/>
      <c r="BQ97" s="30"/>
      <c r="BR97" s="30"/>
      <c r="BS97" s="31"/>
      <c r="BT97" s="30"/>
      <c r="BU97" s="30"/>
      <c r="BV97" s="30"/>
      <c r="BW97" s="31"/>
      <c r="BX97" s="30"/>
      <c r="BY97" s="30"/>
      <c r="BZ97" s="30"/>
      <c r="CA97" s="32"/>
      <c r="CB97" s="19">
        <v>4</v>
      </c>
      <c r="CC97" s="20"/>
      <c r="CD97" s="18">
        <v>45874</v>
      </c>
      <c r="CE97" s="20"/>
      <c r="CF97" s="20">
        <v>5</v>
      </c>
      <c r="CG97" s="29">
        <f t="shared" ref="CG97:CJ97" si="94">AVERAGE(BX97,BT97,BP97,BL97,BH97,BD97,AZ97,AV97,AR97,AN97,AJ97,AF97,AB97,X97,T97,P97,L97,H97,D97)</f>
        <v>5</v>
      </c>
      <c r="CH97" s="22">
        <f t="shared" si="94"/>
        <v>5</v>
      </c>
      <c r="CI97" s="22">
        <f t="shared" si="94"/>
        <v>5</v>
      </c>
      <c r="CJ97" s="22">
        <f t="shared" si="94"/>
        <v>5</v>
      </c>
      <c r="CK97" s="22">
        <f>(' Follow Up 1st'!$CB97+' Follow Up 1st'!$CC97)/2</f>
        <v>2</v>
      </c>
      <c r="CL97" s="23">
        <f>(' Follow Up 1st'!$CD97+' Follow Up 1st'!$CE97)/2</f>
        <v>22937</v>
      </c>
      <c r="CM97" s="24">
        <v>5</v>
      </c>
    </row>
    <row r="98" spans="1:91" ht="18.75" customHeight="1" x14ac:dyDescent="0.55000000000000004">
      <c r="A98" s="10">
        <v>96</v>
      </c>
      <c r="B98" s="25" t="s">
        <v>138</v>
      </c>
      <c r="C98" s="25" t="s">
        <v>131</v>
      </c>
      <c r="D98" s="33">
        <v>5</v>
      </c>
      <c r="E98" s="34">
        <v>5</v>
      </c>
      <c r="F98" s="34">
        <v>5</v>
      </c>
      <c r="G98" s="35">
        <v>5</v>
      </c>
      <c r="H98" s="13">
        <v>5</v>
      </c>
      <c r="I98" s="13">
        <v>5</v>
      </c>
      <c r="J98" s="13">
        <v>5</v>
      </c>
      <c r="K98" s="13">
        <v>5</v>
      </c>
      <c r="L98" s="15">
        <v>5</v>
      </c>
      <c r="M98" s="15">
        <v>5</v>
      </c>
      <c r="N98" s="15">
        <v>5</v>
      </c>
      <c r="O98" s="16">
        <v>5</v>
      </c>
      <c r="P98" s="36">
        <v>5</v>
      </c>
      <c r="Q98" s="36">
        <v>5</v>
      </c>
      <c r="R98" s="36">
        <v>5</v>
      </c>
      <c r="S98" s="37">
        <v>5</v>
      </c>
      <c r="T98" s="14">
        <v>5</v>
      </c>
      <c r="U98" s="14">
        <v>5</v>
      </c>
      <c r="V98" s="14">
        <v>5</v>
      </c>
      <c r="W98" s="14">
        <v>5</v>
      </c>
      <c r="X98" s="36">
        <v>5</v>
      </c>
      <c r="Y98" s="15">
        <v>5</v>
      </c>
      <c r="Z98" s="15">
        <v>5</v>
      </c>
      <c r="AA98" s="15">
        <v>5</v>
      </c>
      <c r="AB98" s="15">
        <v>5</v>
      </c>
      <c r="AC98" s="15">
        <v>5</v>
      </c>
      <c r="AD98" s="15">
        <v>5</v>
      </c>
      <c r="AE98" s="15">
        <v>5</v>
      </c>
      <c r="AF98" s="15">
        <v>5</v>
      </c>
      <c r="AG98" s="15">
        <v>5</v>
      </c>
      <c r="AH98" s="15">
        <v>5</v>
      </c>
      <c r="AI98" s="15">
        <v>5</v>
      </c>
      <c r="AJ98" s="15">
        <v>5</v>
      </c>
      <c r="AK98" s="15">
        <v>5</v>
      </c>
      <c r="AL98" s="15">
        <v>5</v>
      </c>
      <c r="AM98" s="15">
        <v>5</v>
      </c>
      <c r="AN98" s="15">
        <v>5</v>
      </c>
      <c r="AO98" s="15">
        <v>5</v>
      </c>
      <c r="AP98" s="15">
        <v>5</v>
      </c>
      <c r="AQ98" s="15">
        <v>5</v>
      </c>
      <c r="AR98" s="36">
        <v>5</v>
      </c>
      <c r="AS98" s="36">
        <v>5</v>
      </c>
      <c r="AT98" s="36">
        <v>5</v>
      </c>
      <c r="AU98" s="36">
        <v>5</v>
      </c>
      <c r="AV98" s="30"/>
      <c r="AW98" s="30"/>
      <c r="AX98" s="30"/>
      <c r="AY98" s="31"/>
      <c r="AZ98" s="30"/>
      <c r="BA98" s="30"/>
      <c r="BB98" s="30"/>
      <c r="BC98" s="31"/>
      <c r="BD98" s="30"/>
      <c r="BE98" s="30"/>
      <c r="BF98" s="30"/>
      <c r="BG98" s="31"/>
      <c r="BH98" s="30"/>
      <c r="BI98" s="30"/>
      <c r="BJ98" s="30"/>
      <c r="BK98" s="31"/>
      <c r="BL98" s="30"/>
      <c r="BM98" s="30"/>
      <c r="BN98" s="30"/>
      <c r="BO98" s="31"/>
      <c r="BP98" s="30"/>
      <c r="BQ98" s="30"/>
      <c r="BR98" s="30"/>
      <c r="BS98" s="31"/>
      <c r="BT98" s="30"/>
      <c r="BU98" s="30"/>
      <c r="BV98" s="30"/>
      <c r="BW98" s="31"/>
      <c r="BX98" s="30"/>
      <c r="BY98" s="30"/>
      <c r="BZ98" s="30"/>
      <c r="CA98" s="32"/>
      <c r="CB98" s="19">
        <v>3</v>
      </c>
      <c r="CC98" s="20"/>
      <c r="CD98" s="18">
        <v>45843</v>
      </c>
      <c r="CE98" s="20"/>
      <c r="CF98" s="20">
        <v>5</v>
      </c>
      <c r="CG98" s="29">
        <f t="shared" ref="CG98:CJ98" si="95">AVERAGE(BX98,BT98,BP98,BL98,BH98,BD98,AZ98,AV98,AR98,AN98,AJ98,AF98,AB98,X98,T98,P98,L98,H98,D98)</f>
        <v>5</v>
      </c>
      <c r="CH98" s="22">
        <f t="shared" si="95"/>
        <v>5</v>
      </c>
      <c r="CI98" s="22">
        <f t="shared" si="95"/>
        <v>5</v>
      </c>
      <c r="CJ98" s="22">
        <f t="shared" si="95"/>
        <v>5</v>
      </c>
      <c r="CK98" s="22">
        <f>(' Follow Up 1st'!$CB98+' Follow Up 1st'!$CC98)/2</f>
        <v>1.5</v>
      </c>
      <c r="CL98" s="23">
        <f>(' Follow Up 1st'!$CD98+' Follow Up 1st'!$CE98)/2</f>
        <v>22921.5</v>
      </c>
      <c r="CM98" s="24">
        <v>5</v>
      </c>
    </row>
    <row r="99" spans="1:91" ht="18.75" customHeight="1" x14ac:dyDescent="0.55000000000000004">
      <c r="A99" s="10">
        <v>97</v>
      </c>
      <c r="B99" s="25" t="s">
        <v>139</v>
      </c>
      <c r="C99" s="25" t="s">
        <v>131</v>
      </c>
      <c r="D99" s="33">
        <v>5</v>
      </c>
      <c r="E99" s="34">
        <v>5</v>
      </c>
      <c r="F99" s="34">
        <v>5</v>
      </c>
      <c r="G99" s="35">
        <v>5</v>
      </c>
      <c r="H99" s="13">
        <v>5</v>
      </c>
      <c r="I99" s="13">
        <v>5</v>
      </c>
      <c r="J99" s="13">
        <v>5</v>
      </c>
      <c r="K99" s="13">
        <v>5</v>
      </c>
      <c r="L99" s="15">
        <v>5</v>
      </c>
      <c r="M99" s="15">
        <v>5</v>
      </c>
      <c r="N99" s="15">
        <v>5</v>
      </c>
      <c r="O99" s="16">
        <v>5</v>
      </c>
      <c r="P99" s="36">
        <v>5</v>
      </c>
      <c r="Q99" s="36">
        <v>5</v>
      </c>
      <c r="R99" s="36">
        <v>5</v>
      </c>
      <c r="S99" s="37">
        <v>5</v>
      </c>
      <c r="T99" s="14">
        <v>5</v>
      </c>
      <c r="U99" s="14">
        <v>5</v>
      </c>
      <c r="V99" s="14">
        <v>5</v>
      </c>
      <c r="W99" s="14">
        <v>5</v>
      </c>
      <c r="X99" s="36">
        <v>5</v>
      </c>
      <c r="Y99" s="15">
        <v>5</v>
      </c>
      <c r="Z99" s="15">
        <v>5</v>
      </c>
      <c r="AA99" s="15">
        <v>5</v>
      </c>
      <c r="AB99" s="15">
        <v>5</v>
      </c>
      <c r="AC99" s="15">
        <v>5</v>
      </c>
      <c r="AD99" s="15">
        <v>5</v>
      </c>
      <c r="AE99" s="15">
        <v>5</v>
      </c>
      <c r="AF99" s="15">
        <v>5</v>
      </c>
      <c r="AG99" s="15">
        <v>5</v>
      </c>
      <c r="AH99" s="15">
        <v>5</v>
      </c>
      <c r="AI99" s="15">
        <v>5</v>
      </c>
      <c r="AJ99" s="15">
        <v>5</v>
      </c>
      <c r="AK99" s="15">
        <v>5</v>
      </c>
      <c r="AL99" s="15">
        <v>5</v>
      </c>
      <c r="AM99" s="15">
        <v>5</v>
      </c>
      <c r="AN99" s="15">
        <v>5</v>
      </c>
      <c r="AO99" s="15">
        <v>5</v>
      </c>
      <c r="AP99" s="15">
        <v>5</v>
      </c>
      <c r="AQ99" s="15">
        <v>5</v>
      </c>
      <c r="AR99" s="36">
        <v>5</v>
      </c>
      <c r="AS99" s="36">
        <v>5</v>
      </c>
      <c r="AT99" s="36">
        <v>5</v>
      </c>
      <c r="AU99" s="36">
        <v>5</v>
      </c>
      <c r="AV99" s="30"/>
      <c r="AW99" s="30"/>
      <c r="AX99" s="30"/>
      <c r="AY99" s="31"/>
      <c r="AZ99" s="30"/>
      <c r="BA99" s="30"/>
      <c r="BB99" s="30"/>
      <c r="BC99" s="31"/>
      <c r="BD99" s="30"/>
      <c r="BE99" s="30"/>
      <c r="BF99" s="30"/>
      <c r="BG99" s="31"/>
      <c r="BH99" s="30"/>
      <c r="BI99" s="30"/>
      <c r="BJ99" s="30"/>
      <c r="BK99" s="31"/>
      <c r="BL99" s="30"/>
      <c r="BM99" s="30"/>
      <c r="BN99" s="30"/>
      <c r="BO99" s="31"/>
      <c r="BP99" s="30"/>
      <c r="BQ99" s="30"/>
      <c r="BR99" s="30"/>
      <c r="BS99" s="31"/>
      <c r="BT99" s="30"/>
      <c r="BU99" s="30"/>
      <c r="BV99" s="30"/>
      <c r="BW99" s="31"/>
      <c r="BX99" s="30"/>
      <c r="BY99" s="30"/>
      <c r="BZ99" s="30"/>
      <c r="CA99" s="32"/>
      <c r="CB99" s="19">
        <v>5</v>
      </c>
      <c r="CC99" s="20"/>
      <c r="CD99" s="19">
        <v>10</v>
      </c>
      <c r="CE99" s="20"/>
      <c r="CF99" s="20">
        <v>5</v>
      </c>
      <c r="CG99" s="29">
        <f t="shared" ref="CG99:CJ99" si="96">AVERAGE(BX99,BT99,BP99,BL99,BH99,BD99,AZ99,AV99,AR99,AN99,AJ99,AF99,AB99,X99,T99,P99,L99,H99,D99)</f>
        <v>5</v>
      </c>
      <c r="CH99" s="22">
        <f t="shared" si="96"/>
        <v>5</v>
      </c>
      <c r="CI99" s="22">
        <f t="shared" si="96"/>
        <v>5</v>
      </c>
      <c r="CJ99" s="22">
        <f t="shared" si="96"/>
        <v>5</v>
      </c>
      <c r="CK99" s="22">
        <f>(' Follow Up 1st'!$CB99+' Follow Up 1st'!$CC99)/2</f>
        <v>2.5</v>
      </c>
      <c r="CL99" s="22">
        <f>(' Follow Up 1st'!$CD99+' Follow Up 1st'!$CE99)/2</f>
        <v>5</v>
      </c>
      <c r="CM99" s="24">
        <v>5</v>
      </c>
    </row>
    <row r="100" spans="1:91" ht="18.75" customHeight="1" x14ac:dyDescent="0.55000000000000004">
      <c r="A100" s="10">
        <v>98</v>
      </c>
      <c r="B100" s="25" t="s">
        <v>140</v>
      </c>
      <c r="C100" s="25" t="s">
        <v>131</v>
      </c>
      <c r="D100" s="33">
        <v>5</v>
      </c>
      <c r="E100" s="34">
        <v>5</v>
      </c>
      <c r="F100" s="34">
        <v>5</v>
      </c>
      <c r="G100" s="35">
        <v>5</v>
      </c>
      <c r="H100" s="13">
        <v>5</v>
      </c>
      <c r="I100" s="13">
        <v>5</v>
      </c>
      <c r="J100" s="13">
        <v>5</v>
      </c>
      <c r="K100" s="13">
        <v>5</v>
      </c>
      <c r="L100" s="15">
        <v>5</v>
      </c>
      <c r="M100" s="15">
        <v>5</v>
      </c>
      <c r="N100" s="15">
        <v>5</v>
      </c>
      <c r="O100" s="16">
        <v>5</v>
      </c>
      <c r="P100" s="36">
        <v>5</v>
      </c>
      <c r="Q100" s="36">
        <v>5</v>
      </c>
      <c r="R100" s="36">
        <v>5</v>
      </c>
      <c r="S100" s="37">
        <v>5</v>
      </c>
      <c r="T100" s="14">
        <v>5</v>
      </c>
      <c r="U100" s="14">
        <v>5</v>
      </c>
      <c r="V100" s="14">
        <v>5</v>
      </c>
      <c r="W100" s="14">
        <v>5</v>
      </c>
      <c r="X100" s="36">
        <v>5</v>
      </c>
      <c r="Y100" s="15">
        <v>5</v>
      </c>
      <c r="Z100" s="15">
        <v>5</v>
      </c>
      <c r="AA100" s="15">
        <v>5</v>
      </c>
      <c r="AB100" s="15">
        <v>5</v>
      </c>
      <c r="AC100" s="15">
        <v>5</v>
      </c>
      <c r="AD100" s="15">
        <v>5</v>
      </c>
      <c r="AE100" s="15">
        <v>5</v>
      </c>
      <c r="AF100" s="15">
        <v>5</v>
      </c>
      <c r="AG100" s="15">
        <v>5</v>
      </c>
      <c r="AH100" s="15">
        <v>5</v>
      </c>
      <c r="AI100" s="15">
        <v>5</v>
      </c>
      <c r="AJ100" s="15">
        <v>5</v>
      </c>
      <c r="AK100" s="15">
        <v>5</v>
      </c>
      <c r="AL100" s="15">
        <v>5</v>
      </c>
      <c r="AM100" s="15">
        <v>5</v>
      </c>
      <c r="AN100" s="15">
        <v>5</v>
      </c>
      <c r="AO100" s="15">
        <v>5</v>
      </c>
      <c r="AP100" s="15">
        <v>5</v>
      </c>
      <c r="AQ100" s="15">
        <v>5</v>
      </c>
      <c r="AR100" s="36">
        <v>5</v>
      </c>
      <c r="AS100" s="36">
        <v>5</v>
      </c>
      <c r="AT100" s="36">
        <v>5</v>
      </c>
      <c r="AU100" s="36">
        <v>5</v>
      </c>
      <c r="AV100" s="30"/>
      <c r="AW100" s="30"/>
      <c r="AX100" s="30"/>
      <c r="AY100" s="31"/>
      <c r="AZ100" s="30"/>
      <c r="BA100" s="30"/>
      <c r="BB100" s="30"/>
      <c r="BC100" s="31"/>
      <c r="BD100" s="30"/>
      <c r="BE100" s="30"/>
      <c r="BF100" s="30"/>
      <c r="BG100" s="31"/>
      <c r="BH100" s="30"/>
      <c r="BI100" s="30"/>
      <c r="BJ100" s="30"/>
      <c r="BK100" s="31"/>
      <c r="BL100" s="30"/>
      <c r="BM100" s="30"/>
      <c r="BN100" s="30"/>
      <c r="BO100" s="31"/>
      <c r="BP100" s="30"/>
      <c r="BQ100" s="30"/>
      <c r="BR100" s="30"/>
      <c r="BS100" s="31"/>
      <c r="BT100" s="30"/>
      <c r="BU100" s="30"/>
      <c r="BV100" s="30"/>
      <c r="BW100" s="31"/>
      <c r="BX100" s="30"/>
      <c r="BY100" s="30"/>
      <c r="BZ100" s="30"/>
      <c r="CA100" s="32"/>
      <c r="CB100" s="19">
        <v>5</v>
      </c>
      <c r="CC100" s="20"/>
      <c r="CD100" s="19">
        <v>10</v>
      </c>
      <c r="CE100" s="20"/>
      <c r="CF100" s="20">
        <v>5</v>
      </c>
      <c r="CG100" s="29">
        <f t="shared" ref="CG100:CJ100" si="97">AVERAGE(BX100,BT100,BP100,BL100,BH100,BD100,AZ100,AV100,AR100,AN100,AJ100,AF100,AB100,X100,T100,P100,L100,H100,D100)</f>
        <v>5</v>
      </c>
      <c r="CH100" s="22">
        <f t="shared" si="97"/>
        <v>5</v>
      </c>
      <c r="CI100" s="22">
        <f t="shared" si="97"/>
        <v>5</v>
      </c>
      <c r="CJ100" s="22">
        <f t="shared" si="97"/>
        <v>5</v>
      </c>
      <c r="CK100" s="22">
        <f>(' Follow Up 1st'!$CB100+' Follow Up 1st'!$CC100)/2</f>
        <v>2.5</v>
      </c>
      <c r="CL100" s="22">
        <f>(' Follow Up 1st'!$CD100+' Follow Up 1st'!$CE100)/2</f>
        <v>5</v>
      </c>
      <c r="CM100" s="24">
        <v>5</v>
      </c>
    </row>
    <row r="101" spans="1:91" ht="18.75" customHeight="1" x14ac:dyDescent="0.55000000000000004">
      <c r="A101" s="10">
        <v>99</v>
      </c>
      <c r="B101" s="25" t="s">
        <v>141</v>
      </c>
      <c r="C101" s="25" t="s">
        <v>131</v>
      </c>
      <c r="D101" s="33">
        <v>5</v>
      </c>
      <c r="E101" s="34">
        <v>5</v>
      </c>
      <c r="F101" s="34">
        <v>5</v>
      </c>
      <c r="G101" s="35">
        <v>5</v>
      </c>
      <c r="H101" s="13">
        <v>5</v>
      </c>
      <c r="I101" s="13">
        <v>5</v>
      </c>
      <c r="J101" s="13">
        <v>5</v>
      </c>
      <c r="K101" s="13">
        <v>5</v>
      </c>
      <c r="L101" s="15">
        <v>5</v>
      </c>
      <c r="M101" s="15">
        <v>5</v>
      </c>
      <c r="N101" s="15">
        <v>5</v>
      </c>
      <c r="O101" s="16">
        <v>5</v>
      </c>
      <c r="P101" s="36">
        <v>5</v>
      </c>
      <c r="Q101" s="36">
        <v>5</v>
      </c>
      <c r="R101" s="36">
        <v>5</v>
      </c>
      <c r="S101" s="37">
        <v>5</v>
      </c>
      <c r="T101" s="14">
        <v>5</v>
      </c>
      <c r="U101" s="14">
        <v>5</v>
      </c>
      <c r="V101" s="14">
        <v>5</v>
      </c>
      <c r="W101" s="14">
        <v>5</v>
      </c>
      <c r="X101" s="36">
        <v>5</v>
      </c>
      <c r="Y101" s="15">
        <v>5</v>
      </c>
      <c r="Z101" s="15">
        <v>5</v>
      </c>
      <c r="AA101" s="15">
        <v>5</v>
      </c>
      <c r="AB101" s="15">
        <v>5</v>
      </c>
      <c r="AC101" s="15">
        <v>5</v>
      </c>
      <c r="AD101" s="15">
        <v>5</v>
      </c>
      <c r="AE101" s="15">
        <v>5</v>
      </c>
      <c r="AF101" s="15">
        <v>5</v>
      </c>
      <c r="AG101" s="15">
        <v>5</v>
      </c>
      <c r="AH101" s="15">
        <v>5</v>
      </c>
      <c r="AI101" s="15">
        <v>5</v>
      </c>
      <c r="AJ101" s="15">
        <v>5</v>
      </c>
      <c r="AK101" s="15">
        <v>5</v>
      </c>
      <c r="AL101" s="15">
        <v>5</v>
      </c>
      <c r="AM101" s="15">
        <v>5</v>
      </c>
      <c r="AN101" s="15">
        <v>5</v>
      </c>
      <c r="AO101" s="15">
        <v>5</v>
      </c>
      <c r="AP101" s="15">
        <v>5</v>
      </c>
      <c r="AQ101" s="15">
        <v>5</v>
      </c>
      <c r="AR101" s="36">
        <v>5</v>
      </c>
      <c r="AS101" s="36">
        <v>5</v>
      </c>
      <c r="AT101" s="36">
        <v>5</v>
      </c>
      <c r="AU101" s="36">
        <v>5</v>
      </c>
      <c r="AV101" s="30"/>
      <c r="AW101" s="30"/>
      <c r="AX101" s="30"/>
      <c r="AY101" s="31"/>
      <c r="AZ101" s="30"/>
      <c r="BA101" s="30"/>
      <c r="BB101" s="30"/>
      <c r="BC101" s="31"/>
      <c r="BD101" s="30"/>
      <c r="BE101" s="30"/>
      <c r="BF101" s="30"/>
      <c r="BG101" s="31"/>
      <c r="BH101" s="30"/>
      <c r="BI101" s="30"/>
      <c r="BJ101" s="30"/>
      <c r="BK101" s="31"/>
      <c r="BL101" s="30"/>
      <c r="BM101" s="30"/>
      <c r="BN101" s="30"/>
      <c r="BO101" s="31"/>
      <c r="BP101" s="30"/>
      <c r="BQ101" s="30"/>
      <c r="BR101" s="30"/>
      <c r="BS101" s="31"/>
      <c r="BT101" s="30"/>
      <c r="BU101" s="30"/>
      <c r="BV101" s="30"/>
      <c r="BW101" s="31"/>
      <c r="BX101" s="30"/>
      <c r="BY101" s="30"/>
      <c r="BZ101" s="30"/>
      <c r="CA101" s="32"/>
      <c r="CB101" s="19">
        <v>3</v>
      </c>
      <c r="CC101" s="20"/>
      <c r="CD101" s="19">
        <v>8</v>
      </c>
      <c r="CE101" s="20"/>
      <c r="CF101" s="20">
        <v>5</v>
      </c>
      <c r="CG101" s="29">
        <f t="shared" ref="CG101:CJ101" si="98">AVERAGE(BX101,BT101,BP101,BL101,BH101,BD101,AZ101,AV101,AR101,AN101,AJ101,AF101,AB101,X101,T101,P101,L101,H101,D101)</f>
        <v>5</v>
      </c>
      <c r="CH101" s="22">
        <f t="shared" si="98"/>
        <v>5</v>
      </c>
      <c r="CI101" s="22">
        <f t="shared" si="98"/>
        <v>5</v>
      </c>
      <c r="CJ101" s="22">
        <f t="shared" si="98"/>
        <v>5</v>
      </c>
      <c r="CK101" s="22">
        <f>(' Follow Up 1st'!$CB101+' Follow Up 1st'!$CC101)/2</f>
        <v>1.5</v>
      </c>
      <c r="CL101" s="22">
        <f>(' Follow Up 1st'!$CD101+' Follow Up 1st'!$CE101)/2</f>
        <v>4</v>
      </c>
      <c r="CM101" s="24">
        <v>5</v>
      </c>
    </row>
    <row r="102" spans="1:91" ht="18.75" customHeight="1" x14ac:dyDescent="0.55000000000000004">
      <c r="A102" s="10">
        <v>100</v>
      </c>
      <c r="B102" s="25" t="s">
        <v>142</v>
      </c>
      <c r="C102" s="25" t="s">
        <v>131</v>
      </c>
      <c r="D102" s="33">
        <v>5</v>
      </c>
      <c r="E102" s="34">
        <v>5</v>
      </c>
      <c r="F102" s="34">
        <v>5</v>
      </c>
      <c r="G102" s="35">
        <v>5</v>
      </c>
      <c r="H102" s="13">
        <v>5</v>
      </c>
      <c r="I102" s="13">
        <v>5</v>
      </c>
      <c r="J102" s="13">
        <v>5</v>
      </c>
      <c r="K102" s="13">
        <v>5</v>
      </c>
      <c r="L102" s="15">
        <v>5</v>
      </c>
      <c r="M102" s="15">
        <v>5</v>
      </c>
      <c r="N102" s="15">
        <v>5</v>
      </c>
      <c r="O102" s="16">
        <v>5</v>
      </c>
      <c r="P102" s="36">
        <v>5</v>
      </c>
      <c r="Q102" s="36">
        <v>5</v>
      </c>
      <c r="R102" s="36">
        <v>5</v>
      </c>
      <c r="S102" s="37">
        <v>5</v>
      </c>
      <c r="T102" s="14">
        <v>5</v>
      </c>
      <c r="U102" s="14">
        <v>5</v>
      </c>
      <c r="V102" s="14">
        <v>5</v>
      </c>
      <c r="W102" s="14">
        <v>5</v>
      </c>
      <c r="X102" s="36">
        <v>5</v>
      </c>
      <c r="Y102" s="15">
        <v>5</v>
      </c>
      <c r="Z102" s="15">
        <v>5</v>
      </c>
      <c r="AA102" s="15">
        <v>5</v>
      </c>
      <c r="AB102" s="15">
        <v>5</v>
      </c>
      <c r="AC102" s="15">
        <v>5</v>
      </c>
      <c r="AD102" s="15">
        <v>5</v>
      </c>
      <c r="AE102" s="15">
        <v>5</v>
      </c>
      <c r="AF102" s="15">
        <v>5</v>
      </c>
      <c r="AG102" s="15">
        <v>5</v>
      </c>
      <c r="AH102" s="15">
        <v>5</v>
      </c>
      <c r="AI102" s="15">
        <v>5</v>
      </c>
      <c r="AJ102" s="15">
        <v>5</v>
      </c>
      <c r="AK102" s="15">
        <v>5</v>
      </c>
      <c r="AL102" s="15">
        <v>5</v>
      </c>
      <c r="AM102" s="15">
        <v>5</v>
      </c>
      <c r="AN102" s="15">
        <v>5</v>
      </c>
      <c r="AO102" s="15">
        <v>5</v>
      </c>
      <c r="AP102" s="15">
        <v>5</v>
      </c>
      <c r="AQ102" s="15">
        <v>5</v>
      </c>
      <c r="AR102" s="36">
        <v>5</v>
      </c>
      <c r="AS102" s="36">
        <v>5</v>
      </c>
      <c r="AT102" s="36">
        <v>5</v>
      </c>
      <c r="AU102" s="36">
        <v>5</v>
      </c>
      <c r="AV102" s="30"/>
      <c r="AW102" s="30"/>
      <c r="AX102" s="30"/>
      <c r="AY102" s="31"/>
      <c r="AZ102" s="30"/>
      <c r="BA102" s="30"/>
      <c r="BB102" s="30"/>
      <c r="BC102" s="31"/>
      <c r="BD102" s="30"/>
      <c r="BE102" s="30"/>
      <c r="BF102" s="30"/>
      <c r="BG102" s="31"/>
      <c r="BH102" s="30"/>
      <c r="BI102" s="30"/>
      <c r="BJ102" s="30"/>
      <c r="BK102" s="31"/>
      <c r="BL102" s="30"/>
      <c r="BM102" s="30"/>
      <c r="BN102" s="30"/>
      <c r="BO102" s="31"/>
      <c r="BP102" s="30"/>
      <c r="BQ102" s="30"/>
      <c r="BR102" s="30"/>
      <c r="BS102" s="31"/>
      <c r="BT102" s="30"/>
      <c r="BU102" s="30"/>
      <c r="BV102" s="30"/>
      <c r="BW102" s="31"/>
      <c r="BX102" s="30"/>
      <c r="BY102" s="30"/>
      <c r="BZ102" s="30"/>
      <c r="CA102" s="32"/>
      <c r="CB102" s="19">
        <v>4</v>
      </c>
      <c r="CC102" s="20"/>
      <c r="CD102" s="18">
        <v>45813</v>
      </c>
      <c r="CE102" s="20"/>
      <c r="CF102" s="20">
        <v>5</v>
      </c>
      <c r="CG102" s="29">
        <f t="shared" ref="CG102:CJ102" si="99">AVERAGE(BX102,BT102,BP102,BL102,BH102,BD102,AZ102,AV102,AR102,AN102,AJ102,AF102,AB102,X102,T102,P102,L102,H102,D102)</f>
        <v>5</v>
      </c>
      <c r="CH102" s="22">
        <f t="shared" si="99"/>
        <v>5</v>
      </c>
      <c r="CI102" s="22">
        <f t="shared" si="99"/>
        <v>5</v>
      </c>
      <c r="CJ102" s="22">
        <f t="shared" si="99"/>
        <v>5</v>
      </c>
      <c r="CK102" s="22">
        <f>(' Follow Up 1st'!$CB102+' Follow Up 1st'!$CC102)/2</f>
        <v>2</v>
      </c>
      <c r="CL102" s="23">
        <f>(' Follow Up 1st'!$CD102+' Follow Up 1st'!$CE102)/2</f>
        <v>22906.5</v>
      </c>
      <c r="CM102" s="24">
        <v>5</v>
      </c>
    </row>
    <row r="103" spans="1:91" ht="18.75" customHeight="1" x14ac:dyDescent="0.55000000000000004">
      <c r="A103" s="10">
        <v>101</v>
      </c>
      <c r="B103" s="25" t="s">
        <v>143</v>
      </c>
      <c r="C103" s="25" t="s">
        <v>131</v>
      </c>
      <c r="D103" s="33">
        <v>5</v>
      </c>
      <c r="E103" s="34">
        <v>5</v>
      </c>
      <c r="F103" s="34">
        <v>5</v>
      </c>
      <c r="G103" s="35">
        <v>5</v>
      </c>
      <c r="H103" s="13">
        <v>5</v>
      </c>
      <c r="I103" s="13">
        <v>5</v>
      </c>
      <c r="J103" s="13">
        <v>5</v>
      </c>
      <c r="K103" s="13">
        <v>5</v>
      </c>
      <c r="L103" s="15">
        <v>5</v>
      </c>
      <c r="M103" s="15">
        <v>5</v>
      </c>
      <c r="N103" s="15">
        <v>5</v>
      </c>
      <c r="O103" s="16">
        <v>5</v>
      </c>
      <c r="P103" s="36">
        <v>5</v>
      </c>
      <c r="Q103" s="36">
        <v>5</v>
      </c>
      <c r="R103" s="36">
        <v>5</v>
      </c>
      <c r="S103" s="37">
        <v>5</v>
      </c>
      <c r="T103" s="14">
        <v>5</v>
      </c>
      <c r="U103" s="14">
        <v>5</v>
      </c>
      <c r="V103" s="14">
        <v>5</v>
      </c>
      <c r="W103" s="14">
        <v>5</v>
      </c>
      <c r="X103" s="36">
        <v>5</v>
      </c>
      <c r="Y103" s="15">
        <v>5</v>
      </c>
      <c r="Z103" s="15">
        <v>5</v>
      </c>
      <c r="AA103" s="15">
        <v>5</v>
      </c>
      <c r="AB103" s="15">
        <v>5</v>
      </c>
      <c r="AC103" s="15">
        <v>5</v>
      </c>
      <c r="AD103" s="15">
        <v>5</v>
      </c>
      <c r="AE103" s="15">
        <v>5</v>
      </c>
      <c r="AF103" s="15">
        <v>5</v>
      </c>
      <c r="AG103" s="15">
        <v>5</v>
      </c>
      <c r="AH103" s="15">
        <v>5</v>
      </c>
      <c r="AI103" s="15">
        <v>5</v>
      </c>
      <c r="AJ103" s="15">
        <v>5</v>
      </c>
      <c r="AK103" s="15">
        <v>5</v>
      </c>
      <c r="AL103" s="15">
        <v>5</v>
      </c>
      <c r="AM103" s="15">
        <v>5</v>
      </c>
      <c r="AN103" s="15">
        <v>5</v>
      </c>
      <c r="AO103" s="15">
        <v>5</v>
      </c>
      <c r="AP103" s="15">
        <v>5</v>
      </c>
      <c r="AQ103" s="15">
        <v>5</v>
      </c>
      <c r="AR103" s="36">
        <v>5</v>
      </c>
      <c r="AS103" s="36">
        <v>5</v>
      </c>
      <c r="AT103" s="36">
        <v>5</v>
      </c>
      <c r="AU103" s="36">
        <v>5</v>
      </c>
      <c r="AV103" s="30"/>
      <c r="AW103" s="30"/>
      <c r="AX103" s="30"/>
      <c r="AY103" s="31"/>
      <c r="AZ103" s="30"/>
      <c r="BA103" s="30"/>
      <c r="BB103" s="30"/>
      <c r="BC103" s="31"/>
      <c r="BD103" s="30"/>
      <c r="BE103" s="30"/>
      <c r="BF103" s="30"/>
      <c r="BG103" s="31"/>
      <c r="BH103" s="30"/>
      <c r="BI103" s="30"/>
      <c r="BJ103" s="30"/>
      <c r="BK103" s="31"/>
      <c r="BL103" s="30"/>
      <c r="BM103" s="30"/>
      <c r="BN103" s="30"/>
      <c r="BO103" s="31"/>
      <c r="BP103" s="30"/>
      <c r="BQ103" s="30"/>
      <c r="BR103" s="30"/>
      <c r="BS103" s="31"/>
      <c r="BT103" s="30"/>
      <c r="BU103" s="30"/>
      <c r="BV103" s="30"/>
      <c r="BW103" s="31"/>
      <c r="BX103" s="30"/>
      <c r="BY103" s="30"/>
      <c r="BZ103" s="30"/>
      <c r="CA103" s="32"/>
      <c r="CB103" s="19">
        <v>2</v>
      </c>
      <c r="CC103" s="20"/>
      <c r="CD103" s="18">
        <v>45752</v>
      </c>
      <c r="CE103" s="20"/>
      <c r="CF103" s="20">
        <v>5</v>
      </c>
      <c r="CG103" s="29">
        <f t="shared" ref="CG103:CJ103" si="100">AVERAGE(BX103,BT103,BP103,BL103,BH103,BD103,AZ103,AV103,AR103,AN103,AJ103,AF103,AB103,X103,T103,P103,L103,H103,D103)</f>
        <v>5</v>
      </c>
      <c r="CH103" s="22">
        <f t="shared" si="100"/>
        <v>5</v>
      </c>
      <c r="CI103" s="22">
        <f t="shared" si="100"/>
        <v>5</v>
      </c>
      <c r="CJ103" s="22">
        <f t="shared" si="100"/>
        <v>5</v>
      </c>
      <c r="CK103" s="22">
        <f>(' Follow Up 1st'!$CB103+' Follow Up 1st'!$CC103)/2</f>
        <v>1</v>
      </c>
      <c r="CL103" s="23">
        <f>(' Follow Up 1st'!$CD103+' Follow Up 1st'!$CE103)/2</f>
        <v>22876</v>
      </c>
      <c r="CM103" s="24">
        <v>5</v>
      </c>
    </row>
    <row r="104" spans="1:91" ht="18.75" customHeight="1" x14ac:dyDescent="0.55000000000000004">
      <c r="A104" s="10">
        <v>102</v>
      </c>
      <c r="B104" s="25" t="s">
        <v>144</v>
      </c>
      <c r="C104" s="25" t="s">
        <v>131</v>
      </c>
      <c r="D104" s="33">
        <v>5</v>
      </c>
      <c r="E104" s="34">
        <v>5</v>
      </c>
      <c r="F104" s="34">
        <v>5</v>
      </c>
      <c r="G104" s="35">
        <v>5</v>
      </c>
      <c r="H104" s="13">
        <v>5</v>
      </c>
      <c r="I104" s="13">
        <v>5</v>
      </c>
      <c r="J104" s="13">
        <v>5</v>
      </c>
      <c r="K104" s="13">
        <v>5</v>
      </c>
      <c r="L104" s="15">
        <v>5</v>
      </c>
      <c r="M104" s="15">
        <v>5</v>
      </c>
      <c r="N104" s="15">
        <v>5</v>
      </c>
      <c r="O104" s="16">
        <v>5</v>
      </c>
      <c r="P104" s="36">
        <v>5</v>
      </c>
      <c r="Q104" s="36">
        <v>5</v>
      </c>
      <c r="R104" s="36">
        <v>5</v>
      </c>
      <c r="S104" s="37">
        <v>5</v>
      </c>
      <c r="T104" s="14">
        <v>5</v>
      </c>
      <c r="U104" s="14">
        <v>5</v>
      </c>
      <c r="V104" s="14">
        <v>5</v>
      </c>
      <c r="W104" s="14">
        <v>5</v>
      </c>
      <c r="X104" s="36">
        <v>5</v>
      </c>
      <c r="Y104" s="15">
        <v>5</v>
      </c>
      <c r="Z104" s="15">
        <v>5</v>
      </c>
      <c r="AA104" s="15">
        <v>5</v>
      </c>
      <c r="AB104" s="15">
        <v>5</v>
      </c>
      <c r="AC104" s="15">
        <v>5</v>
      </c>
      <c r="AD104" s="15">
        <v>5</v>
      </c>
      <c r="AE104" s="15">
        <v>5</v>
      </c>
      <c r="AF104" s="15">
        <v>5</v>
      </c>
      <c r="AG104" s="15">
        <v>5</v>
      </c>
      <c r="AH104" s="15">
        <v>5</v>
      </c>
      <c r="AI104" s="15">
        <v>5</v>
      </c>
      <c r="AJ104" s="15">
        <v>5</v>
      </c>
      <c r="AK104" s="15">
        <v>5</v>
      </c>
      <c r="AL104" s="15">
        <v>5</v>
      </c>
      <c r="AM104" s="15">
        <v>5</v>
      </c>
      <c r="AN104" s="15">
        <v>5</v>
      </c>
      <c r="AO104" s="15">
        <v>5</v>
      </c>
      <c r="AP104" s="15">
        <v>5</v>
      </c>
      <c r="AQ104" s="15">
        <v>5</v>
      </c>
      <c r="AR104" s="36">
        <v>5</v>
      </c>
      <c r="AS104" s="36">
        <v>5</v>
      </c>
      <c r="AT104" s="36">
        <v>5</v>
      </c>
      <c r="AU104" s="36">
        <v>5</v>
      </c>
      <c r="AV104" s="30"/>
      <c r="AW104" s="30"/>
      <c r="AX104" s="30"/>
      <c r="AY104" s="31"/>
      <c r="AZ104" s="30"/>
      <c r="BA104" s="30"/>
      <c r="BB104" s="30"/>
      <c r="BC104" s="31"/>
      <c r="BD104" s="30"/>
      <c r="BE104" s="30"/>
      <c r="BF104" s="30"/>
      <c r="BG104" s="31"/>
      <c r="BH104" s="30"/>
      <c r="BI104" s="30"/>
      <c r="BJ104" s="30"/>
      <c r="BK104" s="31"/>
      <c r="BL104" s="30"/>
      <c r="BM104" s="30"/>
      <c r="BN104" s="30"/>
      <c r="BO104" s="31"/>
      <c r="BP104" s="30"/>
      <c r="BQ104" s="30"/>
      <c r="BR104" s="30"/>
      <c r="BS104" s="31"/>
      <c r="BT104" s="30"/>
      <c r="BU104" s="30"/>
      <c r="BV104" s="30"/>
      <c r="BW104" s="31"/>
      <c r="BX104" s="30"/>
      <c r="BY104" s="30"/>
      <c r="BZ104" s="30"/>
      <c r="CA104" s="32"/>
      <c r="CB104" s="19">
        <v>4</v>
      </c>
      <c r="CC104" s="20"/>
      <c r="CD104" s="18">
        <v>45874</v>
      </c>
      <c r="CE104" s="20"/>
      <c r="CF104" s="20">
        <v>5</v>
      </c>
      <c r="CG104" s="29">
        <f t="shared" ref="CG104:CJ104" si="101">AVERAGE(BX104,BT104,BP104,BL104,BH104,BD104,AZ104,AV104,AR104,AN104,AJ104,AF104,AB104,X104,T104,P104,L104,H104,D104)</f>
        <v>5</v>
      </c>
      <c r="CH104" s="22">
        <f t="shared" si="101"/>
        <v>5</v>
      </c>
      <c r="CI104" s="22">
        <f t="shared" si="101"/>
        <v>5</v>
      </c>
      <c r="CJ104" s="22">
        <f t="shared" si="101"/>
        <v>5</v>
      </c>
      <c r="CK104" s="22">
        <f>(' Follow Up 1st'!$CB104+' Follow Up 1st'!$CC104)/2</f>
        <v>2</v>
      </c>
      <c r="CL104" s="23">
        <f>(' Follow Up 1st'!$CD104+' Follow Up 1st'!$CE104)/2</f>
        <v>22937</v>
      </c>
      <c r="CM104" s="24">
        <v>5</v>
      </c>
    </row>
    <row r="105" spans="1:91" ht="18.75" customHeight="1" x14ac:dyDescent="0.55000000000000004">
      <c r="A105" s="10">
        <v>103</v>
      </c>
      <c r="B105" s="25" t="s">
        <v>145</v>
      </c>
      <c r="C105" s="25" t="s">
        <v>131</v>
      </c>
      <c r="D105" s="33">
        <v>5</v>
      </c>
      <c r="E105" s="34">
        <v>5</v>
      </c>
      <c r="F105" s="34">
        <v>5</v>
      </c>
      <c r="G105" s="35">
        <v>5</v>
      </c>
      <c r="H105" s="13">
        <v>5</v>
      </c>
      <c r="I105" s="13">
        <v>5</v>
      </c>
      <c r="J105" s="13">
        <v>5</v>
      </c>
      <c r="K105" s="13">
        <v>5</v>
      </c>
      <c r="L105" s="15">
        <v>5</v>
      </c>
      <c r="M105" s="15">
        <v>5</v>
      </c>
      <c r="N105" s="15">
        <v>5</v>
      </c>
      <c r="O105" s="16">
        <v>5</v>
      </c>
      <c r="P105" s="36">
        <v>5</v>
      </c>
      <c r="Q105" s="36">
        <v>5</v>
      </c>
      <c r="R105" s="36">
        <v>5</v>
      </c>
      <c r="S105" s="37">
        <v>5</v>
      </c>
      <c r="T105" s="14">
        <v>5</v>
      </c>
      <c r="U105" s="14">
        <v>5</v>
      </c>
      <c r="V105" s="14">
        <v>5</v>
      </c>
      <c r="W105" s="14">
        <v>5</v>
      </c>
      <c r="X105" s="36">
        <v>5</v>
      </c>
      <c r="Y105" s="15">
        <v>5</v>
      </c>
      <c r="Z105" s="15">
        <v>5</v>
      </c>
      <c r="AA105" s="15">
        <v>5</v>
      </c>
      <c r="AB105" s="15">
        <v>5</v>
      </c>
      <c r="AC105" s="15">
        <v>5</v>
      </c>
      <c r="AD105" s="15">
        <v>5</v>
      </c>
      <c r="AE105" s="15">
        <v>5</v>
      </c>
      <c r="AF105" s="15">
        <v>5</v>
      </c>
      <c r="AG105" s="15">
        <v>5</v>
      </c>
      <c r="AH105" s="15">
        <v>5</v>
      </c>
      <c r="AI105" s="15">
        <v>5</v>
      </c>
      <c r="AJ105" s="15">
        <v>5</v>
      </c>
      <c r="AK105" s="15">
        <v>5</v>
      </c>
      <c r="AL105" s="15">
        <v>5</v>
      </c>
      <c r="AM105" s="15">
        <v>5</v>
      </c>
      <c r="AN105" s="15">
        <v>5</v>
      </c>
      <c r="AO105" s="15">
        <v>5</v>
      </c>
      <c r="AP105" s="15">
        <v>5</v>
      </c>
      <c r="AQ105" s="15">
        <v>5</v>
      </c>
      <c r="AR105" s="36">
        <v>5</v>
      </c>
      <c r="AS105" s="36">
        <v>5</v>
      </c>
      <c r="AT105" s="36">
        <v>5</v>
      </c>
      <c r="AU105" s="36">
        <v>5</v>
      </c>
      <c r="AV105" s="30"/>
      <c r="AW105" s="30"/>
      <c r="AX105" s="30"/>
      <c r="AY105" s="31"/>
      <c r="AZ105" s="30"/>
      <c r="BA105" s="30"/>
      <c r="BB105" s="30"/>
      <c r="BC105" s="31"/>
      <c r="BD105" s="30"/>
      <c r="BE105" s="30"/>
      <c r="BF105" s="30"/>
      <c r="BG105" s="31"/>
      <c r="BH105" s="30"/>
      <c r="BI105" s="30"/>
      <c r="BJ105" s="30"/>
      <c r="BK105" s="31"/>
      <c r="BL105" s="30"/>
      <c r="BM105" s="30"/>
      <c r="BN105" s="30"/>
      <c r="BO105" s="31"/>
      <c r="BP105" s="30"/>
      <c r="BQ105" s="30"/>
      <c r="BR105" s="30"/>
      <c r="BS105" s="31"/>
      <c r="BT105" s="30"/>
      <c r="BU105" s="30"/>
      <c r="BV105" s="30"/>
      <c r="BW105" s="31"/>
      <c r="BX105" s="30"/>
      <c r="BY105" s="30"/>
      <c r="BZ105" s="30"/>
      <c r="CA105" s="32"/>
      <c r="CB105" s="19">
        <v>5</v>
      </c>
      <c r="CC105" s="20"/>
      <c r="CD105" s="19">
        <v>9</v>
      </c>
      <c r="CE105" s="20"/>
      <c r="CF105" s="20">
        <v>5</v>
      </c>
      <c r="CG105" s="29">
        <f t="shared" ref="CG105:CJ105" si="102">AVERAGE(BX105,BT105,BP105,BL105,BH105,BD105,AZ105,AV105,AR105,AN105,AJ105,AF105,AB105,X105,T105,P105,L105,H105,D105)</f>
        <v>5</v>
      </c>
      <c r="CH105" s="22">
        <f t="shared" si="102"/>
        <v>5</v>
      </c>
      <c r="CI105" s="22">
        <f t="shared" si="102"/>
        <v>5</v>
      </c>
      <c r="CJ105" s="22">
        <f t="shared" si="102"/>
        <v>5</v>
      </c>
      <c r="CK105" s="22">
        <f>(' Follow Up 1st'!$CB105+' Follow Up 1st'!$CC105)/2</f>
        <v>2.5</v>
      </c>
      <c r="CL105" s="22">
        <f>(' Follow Up 1st'!$CD105+' Follow Up 1st'!$CE105)/2</f>
        <v>4.5</v>
      </c>
      <c r="CM105" s="24">
        <v>5</v>
      </c>
    </row>
    <row r="106" spans="1:91" ht="18.75" customHeight="1" x14ac:dyDescent="0.55000000000000004">
      <c r="A106" s="10">
        <v>104</v>
      </c>
      <c r="B106" s="25" t="s">
        <v>146</v>
      </c>
      <c r="C106" s="25" t="s">
        <v>131</v>
      </c>
      <c r="D106" s="33">
        <v>5</v>
      </c>
      <c r="E106" s="34">
        <v>5</v>
      </c>
      <c r="F106" s="34">
        <v>5</v>
      </c>
      <c r="G106" s="35">
        <v>5</v>
      </c>
      <c r="H106" s="13">
        <v>5</v>
      </c>
      <c r="I106" s="13">
        <v>5</v>
      </c>
      <c r="J106" s="13">
        <v>5</v>
      </c>
      <c r="K106" s="13">
        <v>5</v>
      </c>
      <c r="L106" s="15">
        <v>5</v>
      </c>
      <c r="M106" s="15">
        <v>5</v>
      </c>
      <c r="N106" s="15">
        <v>5</v>
      </c>
      <c r="O106" s="16">
        <v>5</v>
      </c>
      <c r="P106" s="36">
        <v>5</v>
      </c>
      <c r="Q106" s="38">
        <v>45693</v>
      </c>
      <c r="R106" s="36">
        <v>5</v>
      </c>
      <c r="S106" s="37">
        <v>5</v>
      </c>
      <c r="T106" s="14">
        <v>5</v>
      </c>
      <c r="U106" s="14">
        <v>5</v>
      </c>
      <c r="V106" s="14">
        <v>5</v>
      </c>
      <c r="W106" s="14">
        <v>5</v>
      </c>
      <c r="X106" s="36">
        <v>5</v>
      </c>
      <c r="Y106" s="15">
        <v>5</v>
      </c>
      <c r="Z106" s="15">
        <v>5</v>
      </c>
      <c r="AA106" s="15">
        <v>5</v>
      </c>
      <c r="AB106" s="15">
        <v>5</v>
      </c>
      <c r="AC106" s="15">
        <v>5</v>
      </c>
      <c r="AD106" s="15">
        <v>5</v>
      </c>
      <c r="AE106" s="15">
        <v>5</v>
      </c>
      <c r="AF106" s="15">
        <v>5</v>
      </c>
      <c r="AG106" s="15">
        <v>5</v>
      </c>
      <c r="AH106" s="15">
        <v>5</v>
      </c>
      <c r="AI106" s="15">
        <v>5</v>
      </c>
      <c r="AJ106" s="15">
        <v>5</v>
      </c>
      <c r="AK106" s="15">
        <v>5</v>
      </c>
      <c r="AL106" s="15">
        <v>5</v>
      </c>
      <c r="AM106" s="15">
        <v>5</v>
      </c>
      <c r="AN106" s="15">
        <v>5</v>
      </c>
      <c r="AO106" s="15">
        <v>5</v>
      </c>
      <c r="AP106" s="15">
        <v>5</v>
      </c>
      <c r="AQ106" s="15">
        <v>5</v>
      </c>
      <c r="AR106" s="36">
        <v>5</v>
      </c>
      <c r="AS106" s="36">
        <v>5</v>
      </c>
      <c r="AT106" s="36">
        <v>5</v>
      </c>
      <c r="AU106" s="36">
        <v>5</v>
      </c>
      <c r="AV106" s="30"/>
      <c r="AW106" s="30"/>
      <c r="AX106" s="30"/>
      <c r="AY106" s="31"/>
      <c r="AZ106" s="30"/>
      <c r="BA106" s="30"/>
      <c r="BB106" s="30"/>
      <c r="BC106" s="31"/>
      <c r="BD106" s="30"/>
      <c r="BE106" s="30"/>
      <c r="BF106" s="30"/>
      <c r="BG106" s="31"/>
      <c r="BH106" s="30"/>
      <c r="BI106" s="30"/>
      <c r="BJ106" s="30"/>
      <c r="BK106" s="31"/>
      <c r="BL106" s="30"/>
      <c r="BM106" s="30"/>
      <c r="BN106" s="30"/>
      <c r="BO106" s="31"/>
      <c r="BP106" s="30"/>
      <c r="BQ106" s="30"/>
      <c r="BR106" s="30"/>
      <c r="BS106" s="31"/>
      <c r="BT106" s="30"/>
      <c r="BU106" s="30"/>
      <c r="BV106" s="30"/>
      <c r="BW106" s="31"/>
      <c r="BX106" s="30"/>
      <c r="BY106" s="30"/>
      <c r="BZ106" s="30"/>
      <c r="CA106" s="32"/>
      <c r="CB106" s="19">
        <v>4</v>
      </c>
      <c r="CC106" s="20"/>
      <c r="CD106" s="18">
        <v>45874</v>
      </c>
      <c r="CE106" s="20"/>
      <c r="CF106" s="20">
        <v>5</v>
      </c>
      <c r="CG106" s="29">
        <f t="shared" ref="CG106:CJ106" si="103">AVERAGE(BX106,BT106,BP106,BL106,BH106,BD106,AZ106,AV106,AR106,AN106,AJ106,AF106,AB106,X106,T106,P106,L106,H106,D106)</f>
        <v>5</v>
      </c>
      <c r="CH106" s="22">
        <f t="shared" si="103"/>
        <v>4158.454545454545</v>
      </c>
      <c r="CI106" s="22">
        <f t="shared" si="103"/>
        <v>5</v>
      </c>
      <c r="CJ106" s="22">
        <f t="shared" si="103"/>
        <v>5</v>
      </c>
      <c r="CK106" s="22">
        <f>(' Follow Up 1st'!$CB106+' Follow Up 1st'!$CC106)/2</f>
        <v>2</v>
      </c>
      <c r="CL106" s="23">
        <f>(' Follow Up 1st'!$CD106+' Follow Up 1st'!$CE106)/2</f>
        <v>22937</v>
      </c>
      <c r="CM106" s="24">
        <v>5</v>
      </c>
    </row>
    <row r="107" spans="1:91" ht="18.75" customHeight="1" x14ac:dyDescent="0.55000000000000004">
      <c r="A107" s="10">
        <v>105</v>
      </c>
      <c r="B107" s="25" t="s">
        <v>147</v>
      </c>
      <c r="C107" s="25" t="s">
        <v>131</v>
      </c>
      <c r="D107" s="33">
        <v>5</v>
      </c>
      <c r="E107" s="34">
        <v>5</v>
      </c>
      <c r="F107" s="34">
        <v>5</v>
      </c>
      <c r="G107" s="35">
        <v>5</v>
      </c>
      <c r="H107" s="13">
        <v>5</v>
      </c>
      <c r="I107" s="13">
        <v>5</v>
      </c>
      <c r="J107" s="13">
        <v>5</v>
      </c>
      <c r="K107" s="13">
        <v>5</v>
      </c>
      <c r="L107" s="15">
        <v>5</v>
      </c>
      <c r="M107" s="15">
        <v>5</v>
      </c>
      <c r="N107" s="15">
        <v>3</v>
      </c>
      <c r="O107" s="16">
        <v>0</v>
      </c>
      <c r="P107" s="36">
        <v>5</v>
      </c>
      <c r="Q107" s="36">
        <v>5</v>
      </c>
      <c r="R107" s="36">
        <v>5</v>
      </c>
      <c r="S107" s="37">
        <v>5</v>
      </c>
      <c r="T107" s="14">
        <v>5</v>
      </c>
      <c r="U107" s="14">
        <v>5</v>
      </c>
      <c r="V107" s="14">
        <v>5</v>
      </c>
      <c r="W107" s="14">
        <v>5</v>
      </c>
      <c r="X107" s="36">
        <v>5</v>
      </c>
      <c r="Y107" s="15">
        <v>5</v>
      </c>
      <c r="Z107" s="15">
        <v>5</v>
      </c>
      <c r="AA107" s="15">
        <v>5</v>
      </c>
      <c r="AB107" s="15">
        <v>5</v>
      </c>
      <c r="AC107" s="15">
        <v>5</v>
      </c>
      <c r="AD107" s="15">
        <v>5</v>
      </c>
      <c r="AE107" s="15">
        <v>5</v>
      </c>
      <c r="AF107" s="15">
        <v>5</v>
      </c>
      <c r="AG107" s="15">
        <v>5</v>
      </c>
      <c r="AH107" s="15">
        <v>5</v>
      </c>
      <c r="AI107" s="15">
        <v>5</v>
      </c>
      <c r="AJ107" s="15">
        <v>5</v>
      </c>
      <c r="AK107" s="15">
        <v>5</v>
      </c>
      <c r="AL107" s="15">
        <v>5</v>
      </c>
      <c r="AM107" s="15">
        <v>5</v>
      </c>
      <c r="AN107" s="15">
        <v>5</v>
      </c>
      <c r="AO107" s="15">
        <v>5</v>
      </c>
      <c r="AP107" s="15">
        <v>5</v>
      </c>
      <c r="AQ107" s="15">
        <v>5</v>
      </c>
      <c r="AR107" s="36">
        <v>5</v>
      </c>
      <c r="AS107" s="36">
        <v>5</v>
      </c>
      <c r="AT107" s="36">
        <v>5</v>
      </c>
      <c r="AU107" s="36">
        <v>5</v>
      </c>
      <c r="AV107" s="30"/>
      <c r="AW107" s="30"/>
      <c r="AX107" s="30"/>
      <c r="AY107" s="31"/>
      <c r="AZ107" s="30"/>
      <c r="BA107" s="30"/>
      <c r="BB107" s="30"/>
      <c r="BC107" s="31"/>
      <c r="BD107" s="30"/>
      <c r="BE107" s="30"/>
      <c r="BF107" s="30"/>
      <c r="BG107" s="31"/>
      <c r="BH107" s="30"/>
      <c r="BI107" s="30"/>
      <c r="BJ107" s="30"/>
      <c r="BK107" s="31"/>
      <c r="BL107" s="30"/>
      <c r="BM107" s="30"/>
      <c r="BN107" s="30"/>
      <c r="BO107" s="31"/>
      <c r="BP107" s="30"/>
      <c r="BQ107" s="30"/>
      <c r="BR107" s="30"/>
      <c r="BS107" s="31"/>
      <c r="BT107" s="30"/>
      <c r="BU107" s="30"/>
      <c r="BV107" s="30"/>
      <c r="BW107" s="31"/>
      <c r="BX107" s="30"/>
      <c r="BY107" s="30"/>
      <c r="BZ107" s="30"/>
      <c r="CA107" s="32"/>
      <c r="CB107" s="19">
        <v>5</v>
      </c>
      <c r="CC107" s="20"/>
      <c r="CD107" s="18">
        <v>45905</v>
      </c>
      <c r="CE107" s="20"/>
      <c r="CF107" s="20">
        <v>5</v>
      </c>
      <c r="CG107" s="29">
        <f t="shared" ref="CG107:CJ107" si="104">AVERAGE(BX107,BT107,BP107,BL107,BH107,BD107,AZ107,AV107,AR107,AN107,AJ107,AF107,AB107,X107,T107,P107,L107,H107,D107)</f>
        <v>5</v>
      </c>
      <c r="CH107" s="22">
        <f t="shared" si="104"/>
        <v>5</v>
      </c>
      <c r="CI107" s="22">
        <f t="shared" si="104"/>
        <v>4.8181818181818183</v>
      </c>
      <c r="CJ107" s="22">
        <f t="shared" si="104"/>
        <v>4.5454545454545459</v>
      </c>
      <c r="CK107" s="22">
        <f>(' Follow Up 1st'!$CB107+' Follow Up 1st'!$CC107)/2</f>
        <v>2.5</v>
      </c>
      <c r="CL107" s="23">
        <f>(' Follow Up 1st'!$CD107+' Follow Up 1st'!$CE107)/2</f>
        <v>22952.5</v>
      </c>
      <c r="CM107" s="24">
        <v>5</v>
      </c>
    </row>
    <row r="108" spans="1:91" ht="18.75" customHeight="1" x14ac:dyDescent="0.55000000000000004">
      <c r="A108" s="10">
        <v>106</v>
      </c>
      <c r="B108" s="25" t="s">
        <v>148</v>
      </c>
      <c r="C108" s="25" t="s">
        <v>131</v>
      </c>
      <c r="D108" s="33">
        <v>5</v>
      </c>
      <c r="E108" s="34">
        <v>5</v>
      </c>
      <c r="F108" s="34">
        <v>5</v>
      </c>
      <c r="G108" s="35">
        <v>5</v>
      </c>
      <c r="H108" s="13">
        <v>5</v>
      </c>
      <c r="I108" s="13">
        <v>5</v>
      </c>
      <c r="J108" s="13">
        <v>5</v>
      </c>
      <c r="K108" s="13">
        <v>5</v>
      </c>
      <c r="L108" s="15">
        <v>5</v>
      </c>
      <c r="M108" s="15">
        <v>5</v>
      </c>
      <c r="N108" s="15">
        <v>5</v>
      </c>
      <c r="O108" s="16">
        <v>5</v>
      </c>
      <c r="P108" s="36">
        <v>5</v>
      </c>
      <c r="Q108" s="36">
        <v>5</v>
      </c>
      <c r="R108" s="36">
        <v>5</v>
      </c>
      <c r="S108" s="37">
        <v>5</v>
      </c>
      <c r="T108" s="14">
        <v>5</v>
      </c>
      <c r="U108" s="14">
        <v>5</v>
      </c>
      <c r="V108" s="14">
        <v>5</v>
      </c>
      <c r="W108" s="14">
        <v>5</v>
      </c>
      <c r="X108" s="36">
        <v>5</v>
      </c>
      <c r="Y108" s="15">
        <v>5</v>
      </c>
      <c r="Z108" s="15">
        <v>5</v>
      </c>
      <c r="AA108" s="15">
        <v>5</v>
      </c>
      <c r="AB108" s="15">
        <v>5</v>
      </c>
      <c r="AC108" s="15">
        <v>5</v>
      </c>
      <c r="AD108" s="15">
        <v>5</v>
      </c>
      <c r="AE108" s="15">
        <v>5</v>
      </c>
      <c r="AF108" s="15">
        <v>5</v>
      </c>
      <c r="AG108" s="15">
        <v>5</v>
      </c>
      <c r="AH108" s="15">
        <v>5</v>
      </c>
      <c r="AI108" s="15">
        <v>5</v>
      </c>
      <c r="AJ108" s="15">
        <v>5</v>
      </c>
      <c r="AK108" s="15">
        <v>5</v>
      </c>
      <c r="AL108" s="15">
        <v>5</v>
      </c>
      <c r="AM108" s="15">
        <v>5</v>
      </c>
      <c r="AN108" s="15">
        <v>5</v>
      </c>
      <c r="AO108" s="15">
        <v>5</v>
      </c>
      <c r="AP108" s="15">
        <v>5</v>
      </c>
      <c r="AQ108" s="15">
        <v>5</v>
      </c>
      <c r="AR108" s="36">
        <v>5</v>
      </c>
      <c r="AS108" s="36">
        <v>5</v>
      </c>
      <c r="AT108" s="36">
        <v>5</v>
      </c>
      <c r="AU108" s="36">
        <v>5</v>
      </c>
      <c r="AV108" s="30"/>
      <c r="AW108" s="30"/>
      <c r="AX108" s="30"/>
      <c r="AY108" s="31"/>
      <c r="AZ108" s="30"/>
      <c r="BA108" s="30"/>
      <c r="BB108" s="30"/>
      <c r="BC108" s="31"/>
      <c r="BD108" s="30"/>
      <c r="BE108" s="30"/>
      <c r="BF108" s="30"/>
      <c r="BG108" s="31"/>
      <c r="BH108" s="30"/>
      <c r="BI108" s="30"/>
      <c r="BJ108" s="30"/>
      <c r="BK108" s="31"/>
      <c r="BL108" s="30"/>
      <c r="BM108" s="30"/>
      <c r="BN108" s="30"/>
      <c r="BO108" s="31"/>
      <c r="BP108" s="30"/>
      <c r="BQ108" s="30"/>
      <c r="BR108" s="30"/>
      <c r="BS108" s="31"/>
      <c r="BT108" s="30"/>
      <c r="BU108" s="30"/>
      <c r="BV108" s="30"/>
      <c r="BW108" s="31"/>
      <c r="BX108" s="30"/>
      <c r="BY108" s="30"/>
      <c r="BZ108" s="30"/>
      <c r="CA108" s="32"/>
      <c r="CB108" s="19">
        <v>4</v>
      </c>
      <c r="CC108" s="20"/>
      <c r="CD108" s="18">
        <v>45874</v>
      </c>
      <c r="CE108" s="20"/>
      <c r="CF108" s="20">
        <v>5</v>
      </c>
      <c r="CG108" s="29">
        <f t="shared" ref="CG108:CJ108" si="105">AVERAGE(BX108,BT108,BP108,BL108,BH108,BD108,AZ108,AV108,AR108,AN108,AJ108,AF108,AB108,X108,T108,P108,L108,H108,D108)</f>
        <v>5</v>
      </c>
      <c r="CH108" s="22">
        <f t="shared" si="105"/>
        <v>5</v>
      </c>
      <c r="CI108" s="22">
        <f t="shared" si="105"/>
        <v>5</v>
      </c>
      <c r="CJ108" s="22">
        <f t="shared" si="105"/>
        <v>5</v>
      </c>
      <c r="CK108" s="22">
        <f>(' Follow Up 1st'!$CB108+' Follow Up 1st'!$CC108)/2</f>
        <v>2</v>
      </c>
      <c r="CL108" s="23">
        <f>(' Follow Up 1st'!$CD108+' Follow Up 1st'!$CE108)/2</f>
        <v>22937</v>
      </c>
      <c r="CM108" s="24">
        <v>5</v>
      </c>
    </row>
    <row r="109" spans="1:91" ht="18.75" customHeight="1" x14ac:dyDescent="0.55000000000000004">
      <c r="A109" s="10">
        <v>107</v>
      </c>
      <c r="B109" s="25" t="s">
        <v>149</v>
      </c>
      <c r="C109" s="25" t="s">
        <v>131</v>
      </c>
      <c r="D109" s="33">
        <v>5</v>
      </c>
      <c r="E109" s="34">
        <v>5</v>
      </c>
      <c r="F109" s="34">
        <v>5</v>
      </c>
      <c r="G109" s="35">
        <v>5</v>
      </c>
      <c r="H109" s="13">
        <v>5</v>
      </c>
      <c r="I109" s="13">
        <v>5</v>
      </c>
      <c r="J109" s="13">
        <v>5</v>
      </c>
      <c r="K109" s="13">
        <v>5</v>
      </c>
      <c r="L109" s="15">
        <v>5</v>
      </c>
      <c r="M109" s="15">
        <v>5</v>
      </c>
      <c r="N109" s="15">
        <v>5</v>
      </c>
      <c r="O109" s="16">
        <v>5</v>
      </c>
      <c r="P109" s="36">
        <v>5</v>
      </c>
      <c r="Q109" s="36">
        <v>5</v>
      </c>
      <c r="R109" s="36">
        <v>5</v>
      </c>
      <c r="S109" s="37">
        <v>5</v>
      </c>
      <c r="T109" s="14">
        <v>5</v>
      </c>
      <c r="U109" s="14">
        <v>5</v>
      </c>
      <c r="V109" s="14">
        <v>5</v>
      </c>
      <c r="W109" s="14">
        <v>5</v>
      </c>
      <c r="X109" s="36">
        <v>5</v>
      </c>
      <c r="Y109" s="15">
        <v>5</v>
      </c>
      <c r="Z109" s="15">
        <v>5</v>
      </c>
      <c r="AA109" s="15">
        <v>5</v>
      </c>
      <c r="AB109" s="15">
        <v>5</v>
      </c>
      <c r="AC109" s="15">
        <v>5</v>
      </c>
      <c r="AD109" s="15">
        <v>5</v>
      </c>
      <c r="AE109" s="15">
        <v>5</v>
      </c>
      <c r="AF109" s="15">
        <v>5</v>
      </c>
      <c r="AG109" s="15">
        <v>5</v>
      </c>
      <c r="AH109" s="15">
        <v>5</v>
      </c>
      <c r="AI109" s="15">
        <v>5</v>
      </c>
      <c r="AJ109" s="15">
        <v>5</v>
      </c>
      <c r="AK109" s="15">
        <v>5</v>
      </c>
      <c r="AL109" s="15">
        <v>5</v>
      </c>
      <c r="AM109" s="15">
        <v>5</v>
      </c>
      <c r="AN109" s="15">
        <v>5</v>
      </c>
      <c r="AO109" s="15">
        <v>5</v>
      </c>
      <c r="AP109" s="15">
        <v>5</v>
      </c>
      <c r="AQ109" s="15">
        <v>5</v>
      </c>
      <c r="AR109" s="36">
        <v>5</v>
      </c>
      <c r="AS109" s="36">
        <v>5</v>
      </c>
      <c r="AT109" s="36">
        <v>5</v>
      </c>
      <c r="AU109" s="36">
        <v>5</v>
      </c>
      <c r="AV109" s="30"/>
      <c r="AW109" s="30"/>
      <c r="AX109" s="30"/>
      <c r="AY109" s="31"/>
      <c r="AZ109" s="30"/>
      <c r="BA109" s="30"/>
      <c r="BB109" s="30"/>
      <c r="BC109" s="31"/>
      <c r="BD109" s="30"/>
      <c r="BE109" s="30"/>
      <c r="BF109" s="30"/>
      <c r="BG109" s="31"/>
      <c r="BH109" s="30"/>
      <c r="BI109" s="30"/>
      <c r="BJ109" s="30"/>
      <c r="BK109" s="31"/>
      <c r="BL109" s="30"/>
      <c r="BM109" s="30"/>
      <c r="BN109" s="30"/>
      <c r="BO109" s="31"/>
      <c r="BP109" s="30"/>
      <c r="BQ109" s="30"/>
      <c r="BR109" s="30"/>
      <c r="BS109" s="31"/>
      <c r="BT109" s="30"/>
      <c r="BU109" s="30"/>
      <c r="BV109" s="30"/>
      <c r="BW109" s="31"/>
      <c r="BX109" s="30"/>
      <c r="BY109" s="30"/>
      <c r="BZ109" s="30"/>
      <c r="CA109" s="32"/>
      <c r="CB109" s="19">
        <v>5</v>
      </c>
      <c r="CC109" s="20"/>
      <c r="CD109" s="19">
        <v>10</v>
      </c>
      <c r="CE109" s="20"/>
      <c r="CF109" s="20">
        <v>5</v>
      </c>
      <c r="CG109" s="29">
        <f t="shared" ref="CG109:CJ109" si="106">AVERAGE(BX109,BT109,BP109,BL109,BH109,BD109,AZ109,AV109,AR109,AN109,AJ109,AF109,AB109,X109,T109,P109,L109,H109,D109)</f>
        <v>5</v>
      </c>
      <c r="CH109" s="22">
        <f t="shared" si="106"/>
        <v>5</v>
      </c>
      <c r="CI109" s="22">
        <f t="shared" si="106"/>
        <v>5</v>
      </c>
      <c r="CJ109" s="22">
        <f t="shared" si="106"/>
        <v>5</v>
      </c>
      <c r="CK109" s="22">
        <f>(' Follow Up 1st'!$CB109+' Follow Up 1st'!$CC109)/2</f>
        <v>2.5</v>
      </c>
      <c r="CL109" s="22">
        <f>(' Follow Up 1st'!$CD109+' Follow Up 1st'!$CE109)/2</f>
        <v>5</v>
      </c>
      <c r="CM109" s="24">
        <v>5</v>
      </c>
    </row>
    <row r="110" spans="1:91" ht="18.75" customHeight="1" x14ac:dyDescent="0.55000000000000004">
      <c r="A110" s="10">
        <v>108</v>
      </c>
      <c r="B110" s="25" t="s">
        <v>150</v>
      </c>
      <c r="C110" s="25" t="s">
        <v>131</v>
      </c>
      <c r="D110" s="33">
        <v>5</v>
      </c>
      <c r="E110" s="34">
        <v>5</v>
      </c>
      <c r="F110" s="34">
        <v>5</v>
      </c>
      <c r="G110" s="35">
        <v>5</v>
      </c>
      <c r="H110" s="13">
        <v>5</v>
      </c>
      <c r="I110" s="13">
        <v>5</v>
      </c>
      <c r="J110" s="13">
        <v>5</v>
      </c>
      <c r="K110" s="13">
        <v>5</v>
      </c>
      <c r="L110" s="15">
        <v>5</v>
      </c>
      <c r="M110" s="15">
        <v>5</v>
      </c>
      <c r="N110" s="15">
        <v>5</v>
      </c>
      <c r="O110" s="16">
        <v>5</v>
      </c>
      <c r="P110" s="39">
        <v>5</v>
      </c>
      <c r="Q110" s="36">
        <v>5</v>
      </c>
      <c r="R110" s="36">
        <v>5</v>
      </c>
      <c r="S110" s="37">
        <v>5</v>
      </c>
      <c r="T110" s="14">
        <v>5</v>
      </c>
      <c r="U110" s="14">
        <v>5</v>
      </c>
      <c r="V110" s="14">
        <v>5</v>
      </c>
      <c r="W110" s="14">
        <v>5</v>
      </c>
      <c r="X110" s="39">
        <v>5</v>
      </c>
      <c r="Y110" s="15">
        <v>5</v>
      </c>
      <c r="Z110" s="15">
        <v>5</v>
      </c>
      <c r="AA110" s="15">
        <v>5</v>
      </c>
      <c r="AB110" s="15">
        <v>5</v>
      </c>
      <c r="AC110" s="15">
        <v>5</v>
      </c>
      <c r="AD110" s="15">
        <v>5</v>
      </c>
      <c r="AE110" s="15">
        <v>5</v>
      </c>
      <c r="AF110" s="15">
        <v>5</v>
      </c>
      <c r="AG110" s="15">
        <v>5</v>
      </c>
      <c r="AH110" s="15">
        <v>5</v>
      </c>
      <c r="AI110" s="15">
        <v>5</v>
      </c>
      <c r="AJ110" s="15">
        <v>5</v>
      </c>
      <c r="AK110" s="15">
        <v>5</v>
      </c>
      <c r="AL110" s="15">
        <v>5</v>
      </c>
      <c r="AM110" s="15">
        <v>5</v>
      </c>
      <c r="AN110" s="15">
        <v>5</v>
      </c>
      <c r="AO110" s="15">
        <v>5</v>
      </c>
      <c r="AP110" s="15">
        <v>5</v>
      </c>
      <c r="AQ110" s="15">
        <v>5</v>
      </c>
      <c r="AR110" s="36">
        <v>5</v>
      </c>
      <c r="AS110" s="36">
        <v>5</v>
      </c>
      <c r="AT110" s="36">
        <v>5</v>
      </c>
      <c r="AU110" s="36">
        <v>5</v>
      </c>
      <c r="AV110" s="30"/>
      <c r="AW110" s="30"/>
      <c r="AX110" s="30"/>
      <c r="AY110" s="31"/>
      <c r="AZ110" s="30"/>
      <c r="BA110" s="30"/>
      <c r="BB110" s="30"/>
      <c r="BC110" s="31"/>
      <c r="BD110" s="30"/>
      <c r="BE110" s="30"/>
      <c r="BF110" s="30"/>
      <c r="BG110" s="31"/>
      <c r="BH110" s="30"/>
      <c r="BI110" s="30"/>
      <c r="BJ110" s="30"/>
      <c r="BK110" s="31"/>
      <c r="BL110" s="30"/>
      <c r="BM110" s="30"/>
      <c r="BN110" s="30"/>
      <c r="BO110" s="31"/>
      <c r="BP110" s="30"/>
      <c r="BQ110" s="30"/>
      <c r="BR110" s="30"/>
      <c r="BS110" s="31"/>
      <c r="BT110" s="30"/>
      <c r="BU110" s="30"/>
      <c r="BV110" s="30"/>
      <c r="BW110" s="31"/>
      <c r="BX110" s="30"/>
      <c r="BY110" s="30"/>
      <c r="BZ110" s="30"/>
      <c r="CA110" s="32"/>
      <c r="CB110" s="19">
        <v>4</v>
      </c>
      <c r="CC110" s="20"/>
      <c r="CD110" s="18">
        <v>45905</v>
      </c>
      <c r="CE110" s="20"/>
      <c r="CF110" s="20">
        <v>5</v>
      </c>
      <c r="CG110" s="29">
        <f t="shared" ref="CG110:CJ110" si="107">AVERAGE(BX110,BT110,BP110,BL110,BH110,BD110,AZ110,AV110,AR110,AN110,AJ110,AF110,AB110,X110,T110,P110,L110,H110,D110)</f>
        <v>5</v>
      </c>
      <c r="CH110" s="22">
        <f t="shared" si="107"/>
        <v>5</v>
      </c>
      <c r="CI110" s="22">
        <f t="shared" si="107"/>
        <v>5</v>
      </c>
      <c r="CJ110" s="22">
        <f t="shared" si="107"/>
        <v>5</v>
      </c>
      <c r="CK110" s="22">
        <f>(' Follow Up 1st'!$CB110+' Follow Up 1st'!$CC110)/2</f>
        <v>2</v>
      </c>
      <c r="CL110" s="23">
        <f>(' Follow Up 1st'!$CD110+' Follow Up 1st'!$CE110)/2</f>
        <v>22952.5</v>
      </c>
      <c r="CM110" s="24">
        <v>5</v>
      </c>
    </row>
  </sheetData>
  <mergeCells count="23">
    <mergeCell ref="CG1:CM1"/>
    <mergeCell ref="AV1:AY1"/>
    <mergeCell ref="AZ1:BC1"/>
    <mergeCell ref="BD1:BG1"/>
    <mergeCell ref="BH1:BK1"/>
    <mergeCell ref="BL1:BO1"/>
    <mergeCell ref="BP1:BS1"/>
    <mergeCell ref="BT1:BW1"/>
    <mergeCell ref="AF1:AI1"/>
    <mergeCell ref="AJ1:AM1"/>
    <mergeCell ref="AN1:AQ1"/>
    <mergeCell ref="AR1:AU1"/>
    <mergeCell ref="BX1:CA1"/>
    <mergeCell ref="L1:O1"/>
    <mergeCell ref="P1:S1"/>
    <mergeCell ref="T1:W1"/>
    <mergeCell ref="X1:AA1"/>
    <mergeCell ref="AB1:AE1"/>
    <mergeCell ref="A1:A2"/>
    <mergeCell ref="B1:B2"/>
    <mergeCell ref="C1:C2"/>
    <mergeCell ref="D1:G1"/>
    <mergeCell ref="H1:K1"/>
  </mergeCells>
  <conditionalFormatting sqref="CB2:CC80 CE3:CE84 P3:R90 X3:X90 S3:W110 Y3:CA110 CD3:CD110 CC81:CC84 CB81:CB110">
    <cfRule type="cellIs" dxfId="6" priority="4" operator="equal">
      <formula>1</formula>
    </cfRule>
    <cfRule type="cellIs" dxfId="5" priority="5" operator="between">
      <formula>0.1</formula>
      <formula>0.9</formula>
    </cfRule>
    <cfRule type="cellIs" dxfId="4" priority="6" operator="equal">
      <formula>0</formula>
    </cfRule>
  </conditionalFormatting>
  <conditionalFormatting sqref="CF2:CF110 D3:O110 CC81:CE110 P85:CA110">
    <cfRule type="cellIs" dxfId="3" priority="1" operator="equal">
      <formula>1</formula>
    </cfRule>
    <cfRule type="cellIs" dxfId="2" priority="2" operator="between">
      <formula>0.1</formula>
      <formula>0.9</formula>
    </cfRule>
    <cfRule type="cellIs" dxfId="1" priority="3" operator="equal">
      <formula>0</formula>
    </cfRule>
  </conditionalFormatting>
  <pageMargins left="0.7" right="0.7" top="0.75" bottom="0.75" header="0" footer="0"/>
  <pageSetup orientation="landscape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tabSelected="1" workbookViewId="0">
      <pane xSplit="3" ySplit="2" topLeftCell="E3" activePane="bottomRight" state="frozen"/>
      <selection pane="topRight" activeCell="D1" sqref="D1"/>
      <selection pane="bottomLeft" activeCell="A3" sqref="A3"/>
      <selection pane="bottomRight" activeCell="P14" sqref="P14"/>
    </sheetView>
  </sheetViews>
  <sheetFormatPr defaultColWidth="14.3984375" defaultRowHeight="15" customHeight="1" x14ac:dyDescent="0.45"/>
  <cols>
    <col min="1" max="1" width="11.3984375" customWidth="1"/>
    <col min="2" max="2" width="67.86328125" customWidth="1"/>
    <col min="3" max="3" width="13.73046875" customWidth="1"/>
    <col min="4" max="5" width="26.3984375" customWidth="1"/>
    <col min="7" max="7" width="19.265625" customWidth="1"/>
    <col min="8" max="8" width="18.86328125" customWidth="1"/>
    <col min="9" max="9" width="27.1328125" hidden="1" customWidth="1"/>
    <col min="10" max="10" width="23.265625" hidden="1" customWidth="1"/>
    <col min="11" max="11" width="8.73046875" hidden="1" customWidth="1"/>
    <col min="12" max="12" width="19.265625" hidden="1" customWidth="1"/>
    <col min="13" max="13" width="18.86328125" hidden="1" customWidth="1"/>
    <col min="14" max="14" width="24.3984375" customWidth="1"/>
    <col min="15" max="15" width="25" hidden="1" customWidth="1"/>
  </cols>
  <sheetData>
    <row r="1" spans="1:15" ht="30" customHeight="1" x14ac:dyDescent="0.45">
      <c r="A1" s="61" t="s">
        <v>0</v>
      </c>
      <c r="B1" s="63" t="s">
        <v>1</v>
      </c>
      <c r="C1" s="72" t="s">
        <v>2</v>
      </c>
      <c r="D1" s="74" t="s">
        <v>151</v>
      </c>
      <c r="E1" s="75"/>
      <c r="F1" s="75"/>
      <c r="G1" s="75"/>
      <c r="H1" s="76"/>
      <c r="I1" s="74" t="s">
        <v>152</v>
      </c>
      <c r="J1" s="75"/>
      <c r="K1" s="75"/>
      <c r="L1" s="75"/>
      <c r="M1" s="76"/>
      <c r="N1" s="77" t="s">
        <v>153</v>
      </c>
      <c r="O1" s="77" t="s">
        <v>154</v>
      </c>
    </row>
    <row r="2" spans="1:15" ht="20.65" x14ac:dyDescent="0.45">
      <c r="A2" s="62"/>
      <c r="B2" s="64"/>
      <c r="C2" s="73"/>
      <c r="D2" s="40" t="s">
        <v>155</v>
      </c>
      <c r="E2" s="7" t="s">
        <v>156</v>
      </c>
      <c r="F2" s="7" t="s">
        <v>157</v>
      </c>
      <c r="G2" s="41" t="s">
        <v>158</v>
      </c>
      <c r="H2" s="42" t="s">
        <v>159</v>
      </c>
      <c r="I2" s="43" t="s">
        <v>155</v>
      </c>
      <c r="J2" s="43" t="s">
        <v>156</v>
      </c>
      <c r="K2" s="43" t="s">
        <v>157</v>
      </c>
      <c r="L2" s="43" t="s">
        <v>158</v>
      </c>
      <c r="M2" s="43" t="s">
        <v>159</v>
      </c>
      <c r="N2" s="78"/>
      <c r="O2" s="78"/>
    </row>
    <row r="3" spans="1:15" ht="18.75" customHeight="1" x14ac:dyDescent="0.45">
      <c r="A3" s="44">
        <v>1</v>
      </c>
      <c r="B3" s="45" t="s">
        <v>37</v>
      </c>
      <c r="C3" s="46" t="s">
        <v>38</v>
      </c>
      <c r="D3" s="40">
        <v>7</v>
      </c>
      <c r="E3" s="7">
        <v>10</v>
      </c>
      <c r="F3" s="7">
        <f>SUM(D3:E3)</f>
        <v>17</v>
      </c>
      <c r="G3" s="99">
        <v>22.5</v>
      </c>
      <c r="H3" s="42">
        <f>SUM(F3:G3)</f>
        <v>39.5</v>
      </c>
      <c r="I3" s="41"/>
      <c r="J3" s="41"/>
      <c r="K3" s="41">
        <f>SUM(Result2!$I3:$J3)</f>
        <v>0</v>
      </c>
      <c r="L3" s="41"/>
      <c r="M3" s="41">
        <f>SUM(Result2!$K3:$L3)</f>
        <v>0</v>
      </c>
      <c r="N3" s="47" t="str">
        <f>IF(Result2!$H3&gt;40,"ON LEVEL", IF(Result2!$H3&gt;30,"APPROACH", "BELOW LEVEL"))</f>
        <v>APPROACH</v>
      </c>
      <c r="O3" s="47" t="str">
        <f>IF(Result2!$M3&gt;40,"ONLEVEL", IF(Result2!$M3&gt;20,"APPROACH", "BELOW LEVEL"))</f>
        <v>BELOW LEVEL</v>
      </c>
    </row>
    <row r="4" spans="1:15" ht="18.75" customHeight="1" x14ac:dyDescent="0.45">
      <c r="A4" s="48">
        <v>2</v>
      </c>
      <c r="B4" s="49" t="s">
        <v>39</v>
      </c>
      <c r="C4" s="50" t="s">
        <v>38</v>
      </c>
      <c r="D4" s="40">
        <v>8.5</v>
      </c>
      <c r="E4" s="7">
        <v>10</v>
      </c>
      <c r="F4" s="7">
        <f t="shared" ref="F4:F67" si="0">SUM(D4:E4)</f>
        <v>18.5</v>
      </c>
      <c r="G4" s="99">
        <v>27.5</v>
      </c>
      <c r="H4" s="42">
        <f t="shared" ref="H4:H67" si="1">SUM(F4:G4)</f>
        <v>46</v>
      </c>
      <c r="I4" s="41"/>
      <c r="J4" s="41"/>
      <c r="K4" s="41">
        <f>SUM(Result2!$I4:$J4)</f>
        <v>0</v>
      </c>
      <c r="L4" s="41"/>
      <c r="M4" s="41">
        <f>SUM(Result2!$K4:$L4)</f>
        <v>0</v>
      </c>
      <c r="N4" s="47" t="str">
        <f>IF(Result2!$H4&gt;40,"ON LEVEL", IF(Result2!$H4&gt;30,"APPROACH", "BELOW LEVEL"))</f>
        <v>ON LEVEL</v>
      </c>
      <c r="O4" s="47" t="str">
        <f>IF(Result2!$M4&gt;40,"ONLEVEL", IF(Result2!$M4&gt;20,"APPROACH", "BELOW LEVEL"))</f>
        <v>BELOW LEVEL</v>
      </c>
    </row>
    <row r="5" spans="1:15" ht="18.75" customHeight="1" x14ac:dyDescent="0.45">
      <c r="A5" s="44">
        <v>3</v>
      </c>
      <c r="B5" s="49" t="s">
        <v>40</v>
      </c>
      <c r="C5" s="50" t="s">
        <v>38</v>
      </c>
      <c r="D5" s="40">
        <v>8.5</v>
      </c>
      <c r="E5" s="7">
        <v>10</v>
      </c>
      <c r="F5" s="7">
        <f t="shared" si="0"/>
        <v>18.5</v>
      </c>
      <c r="G5" s="99">
        <v>26.5</v>
      </c>
      <c r="H5" s="42">
        <f t="shared" si="1"/>
        <v>45</v>
      </c>
      <c r="I5" s="41"/>
      <c r="J5" s="41"/>
      <c r="K5" s="41">
        <f>SUM(Result2!$I5:$J5)</f>
        <v>0</v>
      </c>
      <c r="L5" s="41"/>
      <c r="M5" s="41">
        <f>SUM(Result2!$K5:$L5)</f>
        <v>0</v>
      </c>
      <c r="N5" s="47" t="str">
        <f>IF(Result2!$H5&gt;40,"ON LEVEL", IF(Result2!$H5&gt;30,"APPROACH", "BELOW LEVEL"))</f>
        <v>ON LEVEL</v>
      </c>
      <c r="O5" s="47" t="str">
        <f>IF(Result2!$M5&gt;40,"ONLEVEL", IF(Result2!$M5&gt;20,"APPROACH", "BELOW LEVEL"))</f>
        <v>BELOW LEVEL</v>
      </c>
    </row>
    <row r="6" spans="1:15" ht="18.75" customHeight="1" x14ac:dyDescent="0.45">
      <c r="A6" s="48">
        <v>4</v>
      </c>
      <c r="B6" s="49" t="s">
        <v>41</v>
      </c>
      <c r="C6" s="50" t="s">
        <v>38</v>
      </c>
      <c r="D6" s="40">
        <v>7</v>
      </c>
      <c r="E6" s="7">
        <v>10</v>
      </c>
      <c r="F6" s="7">
        <f t="shared" si="0"/>
        <v>17</v>
      </c>
      <c r="G6" s="99">
        <v>24.5</v>
      </c>
      <c r="H6" s="42">
        <f t="shared" si="1"/>
        <v>41.5</v>
      </c>
      <c r="I6" s="41"/>
      <c r="J6" s="41"/>
      <c r="K6" s="41">
        <f>SUM(Result2!$I6:$J6)</f>
        <v>0</v>
      </c>
      <c r="L6" s="41"/>
      <c r="M6" s="41">
        <f>SUM(Result2!$K6:$L6)</f>
        <v>0</v>
      </c>
      <c r="N6" s="47" t="str">
        <f>IF(Result2!$H6&gt;40,"ON LEVEL", IF(Result2!$H6&gt;30,"APPROACH", "BELOW LEVEL"))</f>
        <v>ON LEVEL</v>
      </c>
      <c r="O6" s="47" t="str">
        <f>IF(Result2!$M6&gt;40,"ONLEVEL", IF(Result2!$M6&gt;20,"APPROACH", "BELOW LEVEL"))</f>
        <v>BELOW LEVEL</v>
      </c>
    </row>
    <row r="7" spans="1:15" ht="18.75" customHeight="1" x14ac:dyDescent="0.45">
      <c r="A7" s="44">
        <v>5</v>
      </c>
      <c r="B7" s="49" t="s">
        <v>42</v>
      </c>
      <c r="C7" s="50" t="s">
        <v>38</v>
      </c>
      <c r="D7" s="40">
        <v>10</v>
      </c>
      <c r="E7" s="7">
        <v>10</v>
      </c>
      <c r="F7" s="7">
        <f t="shared" si="0"/>
        <v>20</v>
      </c>
      <c r="G7" s="7">
        <v>28</v>
      </c>
      <c r="H7" s="42">
        <f t="shared" si="1"/>
        <v>48</v>
      </c>
      <c r="I7" s="41"/>
      <c r="J7" s="41"/>
      <c r="K7" s="41">
        <f>SUM(Result2!$I7:$J7)</f>
        <v>0</v>
      </c>
      <c r="L7" s="41"/>
      <c r="M7" s="41">
        <f>SUM(Result2!$K7:$L7)</f>
        <v>0</v>
      </c>
      <c r="N7" s="47" t="str">
        <f>IF(Result2!$H7&gt;40,"ON LEVEL", IF(Result2!$H7&gt;30,"APPROACH", "BELOW LEVEL"))</f>
        <v>ON LEVEL</v>
      </c>
      <c r="O7" s="47" t="str">
        <f>IF(Result2!$M7&gt;40,"ONLEVEL", IF(Result2!$M7&gt;20,"APPROACH", "BELOW LEVEL"))</f>
        <v>BELOW LEVEL</v>
      </c>
    </row>
    <row r="8" spans="1:15" ht="18.75" customHeight="1" x14ac:dyDescent="0.45">
      <c r="A8" s="48">
        <v>6</v>
      </c>
      <c r="B8" s="49" t="s">
        <v>43</v>
      </c>
      <c r="C8" s="50" t="s">
        <v>38</v>
      </c>
      <c r="D8" s="40">
        <v>9.5</v>
      </c>
      <c r="E8" s="7">
        <v>10</v>
      </c>
      <c r="F8" s="7">
        <f t="shared" si="0"/>
        <v>19.5</v>
      </c>
      <c r="G8" s="99">
        <v>27.5</v>
      </c>
      <c r="H8" s="42">
        <f t="shared" si="1"/>
        <v>47</v>
      </c>
      <c r="I8" s="41"/>
      <c r="J8" s="41"/>
      <c r="K8" s="41">
        <f>SUM(Result2!$I8:$J8)</f>
        <v>0</v>
      </c>
      <c r="L8" s="41"/>
      <c r="M8" s="41">
        <f>SUM(Result2!$K8:$L8)</f>
        <v>0</v>
      </c>
      <c r="N8" s="47" t="str">
        <f>IF(Result2!$H8&gt;40,"ON LEVEL", IF(Result2!$H8&gt;30,"APPROACH", "BELOW LEVEL"))</f>
        <v>ON LEVEL</v>
      </c>
      <c r="O8" s="47" t="str">
        <f>IF(Result2!$M8&gt;40,"ONLEVEL", IF(Result2!$M8&gt;20,"APPROACH", "BELOW LEVEL"))</f>
        <v>BELOW LEVEL</v>
      </c>
    </row>
    <row r="9" spans="1:15" ht="18.75" customHeight="1" x14ac:dyDescent="0.45">
      <c r="A9" s="44">
        <v>7</v>
      </c>
      <c r="B9" s="49" t="s">
        <v>44</v>
      </c>
      <c r="C9" s="50" t="s">
        <v>38</v>
      </c>
      <c r="D9" s="40">
        <v>9</v>
      </c>
      <c r="E9" s="7">
        <v>10</v>
      </c>
      <c r="F9" s="7">
        <f t="shared" si="0"/>
        <v>19</v>
      </c>
      <c r="G9" s="7">
        <v>29</v>
      </c>
      <c r="H9" s="42">
        <f t="shared" si="1"/>
        <v>48</v>
      </c>
      <c r="I9" s="41"/>
      <c r="J9" s="41"/>
      <c r="K9" s="41">
        <f>SUM(Result2!$I9:$J9)</f>
        <v>0</v>
      </c>
      <c r="L9" s="41"/>
      <c r="M9" s="41">
        <f>SUM(Result2!$K9:$L9)</f>
        <v>0</v>
      </c>
      <c r="N9" s="47" t="str">
        <f>IF(Result2!$H9&gt;40,"ON LEVEL", IF(Result2!$H9&gt;30,"APPROACH", "BELOW LEVEL"))</f>
        <v>ON LEVEL</v>
      </c>
      <c r="O9" s="47" t="str">
        <f>IF(Result2!$M9&gt;40,"ONLEVEL", IF(Result2!$M9&gt;20,"APPROACH", "BELOW LEVEL"))</f>
        <v>BELOW LEVEL</v>
      </c>
    </row>
    <row r="10" spans="1:15" ht="18.75" customHeight="1" x14ac:dyDescent="0.45">
      <c r="A10" s="48">
        <v>8</v>
      </c>
      <c r="B10" s="49" t="s">
        <v>45</v>
      </c>
      <c r="C10" s="50" t="s">
        <v>38</v>
      </c>
      <c r="D10" s="40">
        <v>9</v>
      </c>
      <c r="E10" s="7">
        <v>10</v>
      </c>
      <c r="F10" s="7">
        <f t="shared" si="0"/>
        <v>19</v>
      </c>
      <c r="G10" s="7">
        <v>23</v>
      </c>
      <c r="H10" s="42">
        <f t="shared" si="1"/>
        <v>42</v>
      </c>
      <c r="I10" s="41"/>
      <c r="J10" s="41"/>
      <c r="K10" s="41">
        <f>SUM(Result2!$I10:$J10)</f>
        <v>0</v>
      </c>
      <c r="L10" s="41"/>
      <c r="M10" s="41">
        <f>SUM(Result2!$K10:$L10)</f>
        <v>0</v>
      </c>
      <c r="N10" s="47" t="str">
        <f>IF(Result2!$H10&gt;40,"ON LEVEL", IF(Result2!$H10&gt;30,"APPROACH", "BELOW LEVEL"))</f>
        <v>ON LEVEL</v>
      </c>
      <c r="O10" s="47" t="str">
        <f>IF(Result2!$M10&gt;40,"ONLEVEL", IF(Result2!$M10&gt;20,"APPROACH", "BELOW LEVEL"))</f>
        <v>BELOW LEVEL</v>
      </c>
    </row>
    <row r="11" spans="1:15" ht="18.75" customHeight="1" x14ac:dyDescent="0.45">
      <c r="A11" s="44">
        <v>9</v>
      </c>
      <c r="B11" s="49" t="s">
        <v>46</v>
      </c>
      <c r="C11" s="50" t="s">
        <v>38</v>
      </c>
      <c r="D11" s="40">
        <v>9</v>
      </c>
      <c r="E11" s="7">
        <v>10</v>
      </c>
      <c r="F11" s="7">
        <f t="shared" si="0"/>
        <v>19</v>
      </c>
      <c r="G11" s="99">
        <v>29.5</v>
      </c>
      <c r="H11" s="42">
        <f t="shared" si="1"/>
        <v>48.5</v>
      </c>
      <c r="I11" s="41"/>
      <c r="J11" s="41"/>
      <c r="K11" s="41">
        <f>SUM(Result2!$I11:$J11)</f>
        <v>0</v>
      </c>
      <c r="L11" s="41"/>
      <c r="M11" s="41">
        <f>SUM(Result2!$K11:$L11)</f>
        <v>0</v>
      </c>
      <c r="N11" s="47" t="str">
        <f>IF(Result2!$H11&gt;40,"ON LEVEL", IF(Result2!$H11&gt;30,"APPROACH", "BELOW LEVEL"))</f>
        <v>ON LEVEL</v>
      </c>
      <c r="O11" s="47" t="str">
        <f>IF(Result2!$M11&gt;40,"ONLEVEL", IF(Result2!$M11&gt;20,"APPROACH", "BELOW LEVEL"))</f>
        <v>BELOW LEVEL</v>
      </c>
    </row>
    <row r="12" spans="1:15" ht="18.75" customHeight="1" x14ac:dyDescent="0.45">
      <c r="A12" s="48">
        <v>10</v>
      </c>
      <c r="B12" s="49" t="s">
        <v>47</v>
      </c>
      <c r="C12" s="50" t="s">
        <v>38</v>
      </c>
      <c r="D12" s="40">
        <v>9</v>
      </c>
      <c r="E12" s="7">
        <v>10</v>
      </c>
      <c r="F12" s="7">
        <f t="shared" si="0"/>
        <v>19</v>
      </c>
      <c r="G12" s="99">
        <v>27.5</v>
      </c>
      <c r="H12" s="42">
        <f t="shared" si="1"/>
        <v>46.5</v>
      </c>
      <c r="I12" s="41"/>
      <c r="J12" s="41"/>
      <c r="K12" s="41">
        <f>SUM(Result2!$I12:$J12)</f>
        <v>0</v>
      </c>
      <c r="L12" s="41"/>
      <c r="M12" s="41">
        <f>SUM(Result2!$K12:$L12)</f>
        <v>0</v>
      </c>
      <c r="N12" s="47" t="str">
        <f>IF(Result2!$H12&gt;40,"ON LEVEL", IF(Result2!$H12&gt;30,"APPROACH", "BELOW LEVEL"))</f>
        <v>ON LEVEL</v>
      </c>
      <c r="O12" s="47" t="str">
        <f>IF(Result2!$M12&gt;40,"ONLEVEL", IF(Result2!$M12&gt;20,"APPROACH", "BELOW LEVEL"))</f>
        <v>BELOW LEVEL</v>
      </c>
    </row>
    <row r="13" spans="1:15" ht="18.75" customHeight="1" x14ac:dyDescent="0.45">
      <c r="A13" s="44">
        <v>11</v>
      </c>
      <c r="B13" s="49" t="s">
        <v>48</v>
      </c>
      <c r="C13" s="50" t="s">
        <v>38</v>
      </c>
      <c r="D13" s="40">
        <v>10</v>
      </c>
      <c r="E13" s="7">
        <v>10</v>
      </c>
      <c r="F13" s="7">
        <f t="shared" si="0"/>
        <v>20</v>
      </c>
      <c r="G13" s="99">
        <v>27.5</v>
      </c>
      <c r="H13" s="42">
        <f t="shared" si="1"/>
        <v>47.5</v>
      </c>
      <c r="I13" s="41"/>
      <c r="J13" s="41"/>
      <c r="K13" s="41">
        <f>SUM(Result2!$I13:$J13)</f>
        <v>0</v>
      </c>
      <c r="L13" s="41"/>
      <c r="M13" s="41">
        <f>SUM(Result2!$K13:$L13)</f>
        <v>0</v>
      </c>
      <c r="N13" s="47" t="str">
        <f>IF(Result2!$H13&gt;40,"ON LEVEL", IF(Result2!$H13&gt;30,"APPROACH", "BELOW LEVEL"))</f>
        <v>ON LEVEL</v>
      </c>
      <c r="O13" s="47" t="str">
        <f>IF(Result2!$M13&gt;40,"ONLEVEL", IF(Result2!$M13&gt;20,"APPROACH", "BELOW LEVEL"))</f>
        <v>BELOW LEVEL</v>
      </c>
    </row>
    <row r="14" spans="1:15" ht="18.75" customHeight="1" x14ac:dyDescent="0.45">
      <c r="A14" s="48">
        <v>12</v>
      </c>
      <c r="B14" s="49" t="s">
        <v>49</v>
      </c>
      <c r="C14" s="50" t="s">
        <v>38</v>
      </c>
      <c r="D14" s="40">
        <v>10</v>
      </c>
      <c r="E14" s="7">
        <v>10</v>
      </c>
      <c r="F14" s="7">
        <f t="shared" si="0"/>
        <v>20</v>
      </c>
      <c r="G14" s="99">
        <v>29.5</v>
      </c>
      <c r="H14" s="42">
        <f t="shared" si="1"/>
        <v>49.5</v>
      </c>
      <c r="I14" s="41"/>
      <c r="J14" s="41"/>
      <c r="K14" s="41">
        <f>SUM(Result2!$I14:$J14)</f>
        <v>0</v>
      </c>
      <c r="L14" s="41"/>
      <c r="M14" s="41">
        <f>SUM(Result2!$K14:$L14)</f>
        <v>0</v>
      </c>
      <c r="N14" s="47" t="str">
        <f>IF(Result2!$H14&gt;40,"ON LEVEL", IF(Result2!$H14&gt;30,"APPROACH", "BELOW LEVEL"))</f>
        <v>ON LEVEL</v>
      </c>
      <c r="O14" s="47" t="str">
        <f>IF(Result2!$M14&gt;40,"ONLEVEL", IF(Result2!$M14&gt;20,"APPROACH", "BELOW LEVEL"))</f>
        <v>BELOW LEVEL</v>
      </c>
    </row>
    <row r="15" spans="1:15" ht="18.75" customHeight="1" x14ac:dyDescent="0.45">
      <c r="A15" s="48">
        <v>14</v>
      </c>
      <c r="B15" s="49" t="s">
        <v>50</v>
      </c>
      <c r="C15" s="50" t="s">
        <v>38</v>
      </c>
      <c r="D15" s="40">
        <v>10</v>
      </c>
      <c r="E15" s="7">
        <v>10</v>
      </c>
      <c r="F15" s="7">
        <f t="shared" si="0"/>
        <v>20</v>
      </c>
      <c r="G15" s="7">
        <v>30</v>
      </c>
      <c r="H15" s="42">
        <f t="shared" si="1"/>
        <v>50</v>
      </c>
      <c r="I15" s="41"/>
      <c r="J15" s="41"/>
      <c r="K15" s="41">
        <f>SUM(Result2!$I15:$J15)</f>
        <v>0</v>
      </c>
      <c r="L15" s="41"/>
      <c r="M15" s="41">
        <f>SUM(Result2!$K15:$L15)</f>
        <v>0</v>
      </c>
      <c r="N15" s="47" t="str">
        <f>IF(Result2!$H15&gt;40,"ON LEVEL", IF(Result2!$H15&gt;30,"APPROACH", "BELOW LEVEL"))</f>
        <v>ON LEVEL</v>
      </c>
      <c r="O15" s="47" t="str">
        <f>IF(Result2!$M15&gt;40,"ONLEVEL", IF(Result2!$M15&gt;20,"APPROACH", "BELOW LEVEL"))</f>
        <v>BELOW LEVEL</v>
      </c>
    </row>
    <row r="16" spans="1:15" ht="18.75" customHeight="1" x14ac:dyDescent="0.45">
      <c r="A16" s="44">
        <v>15</v>
      </c>
      <c r="B16" s="49" t="s">
        <v>51</v>
      </c>
      <c r="C16" s="50" t="s">
        <v>38</v>
      </c>
      <c r="D16" s="40">
        <v>7</v>
      </c>
      <c r="E16" s="7">
        <v>10</v>
      </c>
      <c r="F16" s="7">
        <f t="shared" si="0"/>
        <v>17</v>
      </c>
      <c r="G16" s="7">
        <v>26</v>
      </c>
      <c r="H16" s="42">
        <f t="shared" si="1"/>
        <v>43</v>
      </c>
      <c r="I16" s="41"/>
      <c r="J16" s="41"/>
      <c r="K16" s="41">
        <f>SUM(Result2!$I16:$J16)</f>
        <v>0</v>
      </c>
      <c r="L16" s="41"/>
      <c r="M16" s="41">
        <f>SUM(Result2!$K16:$L16)</f>
        <v>0</v>
      </c>
      <c r="N16" s="47" t="str">
        <f>IF(Result2!$H16&gt;40,"ON LEVEL", IF(Result2!$H16&gt;30,"APPROACH", "BELOW LEVEL"))</f>
        <v>ON LEVEL</v>
      </c>
      <c r="O16" s="47" t="str">
        <f>IF(Result2!$M16&gt;40,"ONLEVEL", IF(Result2!$M16&gt;20,"APPROACH", "BELOW LEVEL"))</f>
        <v>BELOW LEVEL</v>
      </c>
    </row>
    <row r="17" spans="1:15" ht="18.75" customHeight="1" x14ac:dyDescent="0.45">
      <c r="A17" s="48">
        <v>16</v>
      </c>
      <c r="B17" s="49" t="s">
        <v>52</v>
      </c>
      <c r="C17" s="50" t="s">
        <v>38</v>
      </c>
      <c r="D17" s="40">
        <v>10</v>
      </c>
      <c r="E17" s="7">
        <v>10</v>
      </c>
      <c r="F17" s="7">
        <f t="shared" si="0"/>
        <v>20</v>
      </c>
      <c r="G17" s="7">
        <v>27</v>
      </c>
      <c r="H17" s="42">
        <f t="shared" si="1"/>
        <v>47</v>
      </c>
      <c r="I17" s="41"/>
      <c r="J17" s="41"/>
      <c r="K17" s="41">
        <f>SUM(Result2!$I17:$J17)</f>
        <v>0</v>
      </c>
      <c r="L17" s="41"/>
      <c r="M17" s="41">
        <f>SUM(Result2!$K17:$L17)</f>
        <v>0</v>
      </c>
      <c r="N17" s="47" t="str">
        <f>IF(Result2!$H17&gt;40,"ON LEVEL", IF(Result2!$H17&gt;30,"APPROACH", "BELOW LEVEL"))</f>
        <v>ON LEVEL</v>
      </c>
      <c r="O17" s="47" t="str">
        <f>IF(Result2!$M17&gt;40,"ONLEVEL", IF(Result2!$M17&gt;20,"APPROACH", "BELOW LEVEL"))</f>
        <v>BELOW LEVEL</v>
      </c>
    </row>
    <row r="18" spans="1:15" ht="18.75" customHeight="1" x14ac:dyDescent="0.45">
      <c r="A18" s="44">
        <v>17</v>
      </c>
      <c r="B18" s="49" t="s">
        <v>53</v>
      </c>
      <c r="C18" s="50" t="s">
        <v>38</v>
      </c>
      <c r="D18" s="40">
        <v>10</v>
      </c>
      <c r="E18" s="7">
        <v>10</v>
      </c>
      <c r="F18" s="7">
        <f t="shared" si="0"/>
        <v>20</v>
      </c>
      <c r="G18" s="99">
        <v>28.5</v>
      </c>
      <c r="H18" s="42">
        <f t="shared" si="1"/>
        <v>48.5</v>
      </c>
      <c r="I18" s="41"/>
      <c r="J18" s="41"/>
      <c r="K18" s="41">
        <f>SUM(Result2!$I18:$J18)</f>
        <v>0</v>
      </c>
      <c r="L18" s="41"/>
      <c r="M18" s="41">
        <f>SUM(Result2!$K18:$L18)</f>
        <v>0</v>
      </c>
      <c r="N18" s="47" t="str">
        <f>IF(Result2!$H18&gt;40,"ON LEVEL", IF(Result2!$H18&gt;30,"APPROACH", "BELOW LEVEL"))</f>
        <v>ON LEVEL</v>
      </c>
      <c r="O18" s="47" t="str">
        <f>IF(Result2!$M18&gt;40,"ONLEVEL", IF(Result2!$M18&gt;20,"APPROACH", "BELOW LEVEL"))</f>
        <v>BELOW LEVEL</v>
      </c>
    </row>
    <row r="19" spans="1:15" ht="18.75" customHeight="1" x14ac:dyDescent="0.45">
      <c r="A19" s="48">
        <v>18</v>
      </c>
      <c r="B19" s="49" t="s">
        <v>54</v>
      </c>
      <c r="C19" s="50" t="s">
        <v>38</v>
      </c>
      <c r="D19" s="40">
        <v>9.5</v>
      </c>
      <c r="E19" s="7">
        <v>10</v>
      </c>
      <c r="F19" s="7">
        <f t="shared" si="0"/>
        <v>19.5</v>
      </c>
      <c r="G19" s="7">
        <v>28</v>
      </c>
      <c r="H19" s="42">
        <f t="shared" si="1"/>
        <v>47.5</v>
      </c>
      <c r="I19" s="41"/>
      <c r="J19" s="41"/>
      <c r="K19" s="41">
        <f>SUM(Result2!$I19:$J19)</f>
        <v>0</v>
      </c>
      <c r="L19" s="41"/>
      <c r="M19" s="41">
        <f>SUM(Result2!$K19:$L19)</f>
        <v>0</v>
      </c>
      <c r="N19" s="47" t="str">
        <f>IF(Result2!$H19&gt;40,"ON LEVEL", IF(Result2!$H19&gt;30,"APPROACH", "BELOW LEVEL"))</f>
        <v>ON LEVEL</v>
      </c>
      <c r="O19" s="47" t="str">
        <f>IF(Result2!$M19&gt;40,"ONLEVEL", IF(Result2!$M19&gt;20,"APPROACH", "BELOW LEVEL"))</f>
        <v>BELOW LEVEL</v>
      </c>
    </row>
    <row r="20" spans="1:15" ht="18.75" customHeight="1" x14ac:dyDescent="0.45">
      <c r="A20" s="44">
        <v>19</v>
      </c>
      <c r="B20" s="49" t="s">
        <v>55</v>
      </c>
      <c r="C20" s="50" t="s">
        <v>38</v>
      </c>
      <c r="D20" s="40">
        <v>10</v>
      </c>
      <c r="E20" s="7">
        <v>10</v>
      </c>
      <c r="F20" s="7">
        <f t="shared" si="0"/>
        <v>20</v>
      </c>
      <c r="G20" s="99">
        <v>28.5</v>
      </c>
      <c r="H20" s="42">
        <f t="shared" si="1"/>
        <v>48.5</v>
      </c>
      <c r="I20" s="41"/>
      <c r="J20" s="41"/>
      <c r="K20" s="41">
        <f>SUM(Result2!$I20:$J20)</f>
        <v>0</v>
      </c>
      <c r="L20" s="41"/>
      <c r="M20" s="41">
        <f>SUM(Result2!$K20:$L20)</f>
        <v>0</v>
      </c>
      <c r="N20" s="47" t="str">
        <f>IF(Result2!$H20&gt;40,"ON LEVEL", IF(Result2!$H20&gt;30,"APPROACH", "BELOW LEVEL"))</f>
        <v>ON LEVEL</v>
      </c>
      <c r="O20" s="47" t="str">
        <f>IF(Result2!$M20&gt;40,"ONLEVEL", IF(Result2!$M20&gt;20,"APPROACH", "BELOW LEVEL"))</f>
        <v>BELOW LEVEL</v>
      </c>
    </row>
    <row r="21" spans="1:15" ht="18.75" customHeight="1" x14ac:dyDescent="0.45">
      <c r="A21" s="48">
        <v>20</v>
      </c>
      <c r="B21" s="49" t="s">
        <v>56</v>
      </c>
      <c r="C21" s="50" t="s">
        <v>38</v>
      </c>
      <c r="D21" s="40">
        <v>9.5</v>
      </c>
      <c r="E21" s="7">
        <v>10</v>
      </c>
      <c r="F21" s="7">
        <f t="shared" si="0"/>
        <v>19.5</v>
      </c>
      <c r="G21" s="99">
        <v>29.5</v>
      </c>
      <c r="H21" s="42">
        <f t="shared" si="1"/>
        <v>49</v>
      </c>
      <c r="I21" s="41"/>
      <c r="J21" s="41"/>
      <c r="K21" s="41">
        <f>SUM(Result2!$I21:$J21)</f>
        <v>0</v>
      </c>
      <c r="L21" s="41"/>
      <c r="M21" s="41">
        <f>SUM(Result2!$K21:$L21)</f>
        <v>0</v>
      </c>
      <c r="N21" s="47" t="str">
        <f>IF(Result2!$H21&gt;40,"ON LEVEL", IF(Result2!$H21&gt;30,"APPROACH", "BELOW LEVEL"))</f>
        <v>ON LEVEL</v>
      </c>
      <c r="O21" s="47" t="str">
        <f>IF(Result2!$M21&gt;40,"ONLEVEL", IF(Result2!$M21&gt;20,"APPROACH", "BELOW LEVEL"))</f>
        <v>BELOW LEVEL</v>
      </c>
    </row>
    <row r="22" spans="1:15" ht="18.75" customHeight="1" x14ac:dyDescent="0.45">
      <c r="A22" s="44">
        <v>21</v>
      </c>
      <c r="B22" s="49" t="s">
        <v>160</v>
      </c>
      <c r="C22" s="50" t="s">
        <v>38</v>
      </c>
      <c r="D22" s="40">
        <v>8.5</v>
      </c>
      <c r="E22" s="7">
        <v>10</v>
      </c>
      <c r="F22" s="7">
        <f t="shared" si="0"/>
        <v>18.5</v>
      </c>
      <c r="G22" s="7">
        <v>29</v>
      </c>
      <c r="H22" s="42">
        <f t="shared" si="1"/>
        <v>47.5</v>
      </c>
      <c r="I22" s="41"/>
      <c r="J22" s="41"/>
      <c r="K22" s="41">
        <f>SUM(Result2!$I22:$J22)</f>
        <v>0</v>
      </c>
      <c r="L22" s="41"/>
      <c r="M22" s="41">
        <f>SUM(Result2!$K22:$L22)</f>
        <v>0</v>
      </c>
      <c r="N22" s="47" t="str">
        <f>IF(Result2!$H22&gt;40,"ON LEVEL", IF(Result2!$H22&gt;30,"APPROACH", "BELOW LEVEL"))</f>
        <v>ON LEVEL</v>
      </c>
      <c r="O22" s="47" t="str">
        <f>IF(Result2!$M22&gt;40,"ONLEVEL", IF(Result2!$M22&gt;20,"APPROACH", "BELOW LEVEL"))</f>
        <v>BELOW LEVEL</v>
      </c>
    </row>
    <row r="23" spans="1:15" ht="18.75" customHeight="1" x14ac:dyDescent="0.45">
      <c r="A23" s="48">
        <v>22</v>
      </c>
      <c r="B23" s="49" t="s">
        <v>58</v>
      </c>
      <c r="C23" s="50" t="s">
        <v>38</v>
      </c>
      <c r="D23" s="40">
        <v>10</v>
      </c>
      <c r="E23" s="7">
        <v>10</v>
      </c>
      <c r="F23" s="7">
        <f t="shared" si="0"/>
        <v>20</v>
      </c>
      <c r="G23" s="99">
        <v>26.5</v>
      </c>
      <c r="H23" s="42">
        <f t="shared" si="1"/>
        <v>46.5</v>
      </c>
      <c r="I23" s="41"/>
      <c r="J23" s="41"/>
      <c r="K23" s="41">
        <f>SUM(Result2!$I23:$J23)</f>
        <v>0</v>
      </c>
      <c r="L23" s="41"/>
      <c r="M23" s="41">
        <f>SUM(Result2!$K23:$L23)</f>
        <v>0</v>
      </c>
      <c r="N23" s="47" t="str">
        <f>IF(Result2!$H23&gt;40,"ON LEVEL", IF(Result2!$H23&gt;30,"APPROACH", "BELOW LEVEL"))</f>
        <v>ON LEVEL</v>
      </c>
      <c r="O23" s="47" t="str">
        <f>IF(Result2!$M23&gt;40,"ONLEVEL", IF(Result2!$M23&gt;20,"APPROACH", "BELOW LEVEL"))</f>
        <v>BELOW LEVEL</v>
      </c>
    </row>
    <row r="24" spans="1:15" ht="18.75" customHeight="1" x14ac:dyDescent="0.45">
      <c r="A24" s="48">
        <v>40</v>
      </c>
      <c r="B24" s="49" t="s">
        <v>59</v>
      </c>
      <c r="C24" s="50" t="s">
        <v>38</v>
      </c>
      <c r="D24" s="40">
        <v>10</v>
      </c>
      <c r="E24" s="7">
        <v>10</v>
      </c>
      <c r="F24" s="7">
        <f t="shared" si="0"/>
        <v>20</v>
      </c>
      <c r="G24" s="99">
        <v>28.5</v>
      </c>
      <c r="H24" s="42">
        <f t="shared" si="1"/>
        <v>48.5</v>
      </c>
      <c r="I24" s="41"/>
      <c r="J24" s="41"/>
      <c r="K24" s="41">
        <f>SUM(Result2!$I24:$J24)</f>
        <v>0</v>
      </c>
      <c r="L24" s="41"/>
      <c r="M24" s="41">
        <f>SUM(Result2!$K24:$L24)</f>
        <v>0</v>
      </c>
      <c r="N24" s="47" t="str">
        <f>IF(Result2!$H24&gt;40,"ON LEVEL", IF(Result2!$H24&gt;30,"APPROACH", "BELOW LEVEL"))</f>
        <v>ON LEVEL</v>
      </c>
      <c r="O24" s="47" t="str">
        <f>IF(Result2!$M24&gt;40,"ONLEVEL", IF(Result2!$M24&gt;20,"APPROACH", "BELOW LEVEL"))</f>
        <v>BELOW LEVEL</v>
      </c>
    </row>
    <row r="25" spans="1:15" ht="18.75" customHeight="1" x14ac:dyDescent="0.45">
      <c r="A25" s="44">
        <v>23</v>
      </c>
      <c r="B25" s="49" t="s">
        <v>60</v>
      </c>
      <c r="C25" s="50" t="s">
        <v>61</v>
      </c>
      <c r="D25" s="40">
        <v>7</v>
      </c>
      <c r="E25" s="7">
        <v>10</v>
      </c>
      <c r="F25" s="7">
        <f t="shared" si="0"/>
        <v>17</v>
      </c>
      <c r="G25" s="99">
        <v>27.5</v>
      </c>
      <c r="H25" s="42">
        <f t="shared" si="1"/>
        <v>44.5</v>
      </c>
      <c r="I25" s="41"/>
      <c r="J25" s="41"/>
      <c r="K25" s="41">
        <f>SUM(Result2!$I25:$J25)</f>
        <v>0</v>
      </c>
      <c r="L25" s="41"/>
      <c r="M25" s="41">
        <f>SUM(Result2!$K25:$L25)</f>
        <v>0</v>
      </c>
      <c r="N25" s="47" t="str">
        <f>IF(Result2!$H25&gt;40,"ON LEVEL", IF(Result2!$H25&gt;30,"APPROACH", "BELOW LEVEL"))</f>
        <v>ON LEVEL</v>
      </c>
      <c r="O25" s="47" t="str">
        <f>IF(Result2!$M25&gt;40,"ONLEVEL", IF(Result2!$M25&gt;20,"APPROACH", "BELOW LEVEL"))</f>
        <v>BELOW LEVEL</v>
      </c>
    </row>
    <row r="26" spans="1:15" ht="18.75" customHeight="1" x14ac:dyDescent="0.45">
      <c r="A26" s="44">
        <v>13</v>
      </c>
      <c r="B26" s="49" t="s">
        <v>161</v>
      </c>
      <c r="C26" s="50" t="s">
        <v>61</v>
      </c>
      <c r="D26" s="40">
        <v>10</v>
      </c>
      <c r="E26" s="7">
        <v>10</v>
      </c>
      <c r="F26" s="7">
        <f t="shared" si="0"/>
        <v>20</v>
      </c>
      <c r="G26" s="7">
        <v>30</v>
      </c>
      <c r="H26" s="42">
        <f t="shared" si="1"/>
        <v>50</v>
      </c>
      <c r="I26" s="41"/>
      <c r="J26" s="41"/>
      <c r="K26" s="41">
        <f>SUM(Result2!$I26:$J26)</f>
        <v>0</v>
      </c>
      <c r="L26" s="41"/>
      <c r="M26" s="41">
        <f>SUM(Result2!$K26:$L26)</f>
        <v>0</v>
      </c>
      <c r="N26" s="47" t="str">
        <f>IF(Result2!$H26&gt;40,"ON LEVEL", IF(Result2!$H26&gt;30,"APPROACH", "BELOW LEVEL"))</f>
        <v>ON LEVEL</v>
      </c>
      <c r="O26" s="47" t="str">
        <f>IF(Result2!$M26&gt;40,"ONLEVEL", IF(Result2!$M26&gt;20,"APPROACH", "BELOW LEVEL"))</f>
        <v>BELOW LEVEL</v>
      </c>
    </row>
    <row r="27" spans="1:15" ht="18.75" customHeight="1" x14ac:dyDescent="0.45">
      <c r="A27" s="48">
        <v>24</v>
      </c>
      <c r="B27" s="49" t="s">
        <v>63</v>
      </c>
      <c r="C27" s="50" t="s">
        <v>61</v>
      </c>
      <c r="D27" s="40">
        <v>10</v>
      </c>
      <c r="E27" s="7">
        <v>10</v>
      </c>
      <c r="F27" s="7">
        <f t="shared" si="0"/>
        <v>20</v>
      </c>
      <c r="G27" s="7">
        <v>29</v>
      </c>
      <c r="H27" s="42">
        <f t="shared" si="1"/>
        <v>49</v>
      </c>
      <c r="I27" s="41"/>
      <c r="J27" s="41"/>
      <c r="K27" s="41">
        <f>SUM(Result2!$I27:$J27)</f>
        <v>0</v>
      </c>
      <c r="L27" s="41"/>
      <c r="M27" s="41">
        <f>SUM(Result2!$K27:$L27)</f>
        <v>0</v>
      </c>
      <c r="N27" s="47" t="str">
        <f>IF(Result2!$H27&gt;40,"ON LEVEL", IF(Result2!$H27&gt;30,"APPROACH", "BELOW LEVEL"))</f>
        <v>ON LEVEL</v>
      </c>
      <c r="O27" s="47" t="str">
        <f>IF(Result2!$M27&gt;40,"ONLEVEL", IF(Result2!$M27&gt;20,"APPROACH", "BELOW LEVEL"))</f>
        <v>BELOW LEVEL</v>
      </c>
    </row>
    <row r="28" spans="1:15" ht="18.75" customHeight="1" x14ac:dyDescent="0.45">
      <c r="A28" s="44">
        <v>25</v>
      </c>
      <c r="B28" s="49" t="s">
        <v>64</v>
      </c>
      <c r="C28" s="50" t="s">
        <v>61</v>
      </c>
      <c r="D28" s="40">
        <v>10</v>
      </c>
      <c r="E28" s="7">
        <v>10</v>
      </c>
      <c r="F28" s="7">
        <f t="shared" si="0"/>
        <v>20</v>
      </c>
      <c r="G28" s="7">
        <v>30</v>
      </c>
      <c r="H28" s="42">
        <f t="shared" si="1"/>
        <v>50</v>
      </c>
      <c r="I28" s="41"/>
      <c r="J28" s="41"/>
      <c r="K28" s="41">
        <f>SUM(Result2!$I28:$J28)</f>
        <v>0</v>
      </c>
      <c r="L28" s="41"/>
      <c r="M28" s="41">
        <f>SUM(Result2!$K28:$L28)</f>
        <v>0</v>
      </c>
      <c r="N28" s="47" t="str">
        <f>IF(Result2!$H28&gt;40,"ON LEVEL", IF(Result2!$H28&gt;30,"APPROACH", "BELOW LEVEL"))</f>
        <v>ON LEVEL</v>
      </c>
      <c r="O28" s="47" t="str">
        <f>IF(Result2!$M28&gt;40,"ONLEVEL", IF(Result2!$M28&gt;20,"APPROACH", "BELOW LEVEL"))</f>
        <v>BELOW LEVEL</v>
      </c>
    </row>
    <row r="29" spans="1:15" ht="18.75" customHeight="1" x14ac:dyDescent="0.45">
      <c r="A29" s="48">
        <v>26</v>
      </c>
      <c r="B29" s="49" t="s">
        <v>65</v>
      </c>
      <c r="C29" s="50" t="s">
        <v>61</v>
      </c>
      <c r="D29" s="40">
        <v>9.5</v>
      </c>
      <c r="E29" s="7">
        <v>10</v>
      </c>
      <c r="F29" s="7">
        <f t="shared" si="0"/>
        <v>19.5</v>
      </c>
      <c r="G29" s="7">
        <v>28</v>
      </c>
      <c r="H29" s="42">
        <f t="shared" si="1"/>
        <v>47.5</v>
      </c>
      <c r="I29" s="41"/>
      <c r="J29" s="41"/>
      <c r="K29" s="41">
        <f>SUM(Result2!$I29:$J29)</f>
        <v>0</v>
      </c>
      <c r="L29" s="41"/>
      <c r="M29" s="41">
        <f>SUM(Result2!$K29:$L29)</f>
        <v>0</v>
      </c>
      <c r="N29" s="47" t="str">
        <f>IF(Result2!$H29&gt;40,"ON LEVEL", IF(Result2!$H29&gt;30,"APPROACH", "BELOW LEVEL"))</f>
        <v>ON LEVEL</v>
      </c>
      <c r="O29" s="47" t="str">
        <f>IF(Result2!$M29&gt;40,"ONLEVEL", IF(Result2!$M29&gt;20,"APPROACH", "BELOW LEVEL"))</f>
        <v>BELOW LEVEL</v>
      </c>
    </row>
    <row r="30" spans="1:15" ht="18.75" customHeight="1" x14ac:dyDescent="0.45">
      <c r="A30" s="44">
        <v>27</v>
      </c>
      <c r="B30" s="49" t="s">
        <v>66</v>
      </c>
      <c r="C30" s="50" t="s">
        <v>61</v>
      </c>
      <c r="D30" s="40">
        <v>9.5</v>
      </c>
      <c r="E30" s="7">
        <v>10</v>
      </c>
      <c r="F30" s="7">
        <f t="shared" si="0"/>
        <v>19.5</v>
      </c>
      <c r="G30" s="99">
        <v>28.5</v>
      </c>
      <c r="H30" s="42">
        <f t="shared" si="1"/>
        <v>48</v>
      </c>
      <c r="I30" s="41"/>
      <c r="J30" s="41"/>
      <c r="K30" s="41">
        <f>SUM(Result2!$I30:$J30)</f>
        <v>0</v>
      </c>
      <c r="L30" s="41"/>
      <c r="M30" s="41">
        <f>SUM(Result2!$K30:$L30)</f>
        <v>0</v>
      </c>
      <c r="N30" s="47" t="str">
        <f>IF(Result2!$H30&gt;40,"ON LEVEL", IF(Result2!$H30&gt;30,"APPROACH", "BELOW LEVEL"))</f>
        <v>ON LEVEL</v>
      </c>
      <c r="O30" s="47" t="str">
        <f>IF(Result2!$M30&gt;40,"ONLEVEL", IF(Result2!$M30&gt;20,"APPROACH", "BELOW LEVEL"))</f>
        <v>BELOW LEVEL</v>
      </c>
    </row>
    <row r="31" spans="1:15" ht="18.75" customHeight="1" x14ac:dyDescent="0.45">
      <c r="A31" s="48">
        <v>28</v>
      </c>
      <c r="B31" s="49" t="s">
        <v>67</v>
      </c>
      <c r="C31" s="50" t="s">
        <v>61</v>
      </c>
      <c r="D31" s="40">
        <v>10</v>
      </c>
      <c r="E31" s="7">
        <v>10</v>
      </c>
      <c r="F31" s="7">
        <f t="shared" si="0"/>
        <v>20</v>
      </c>
      <c r="G31" s="7">
        <v>27</v>
      </c>
      <c r="H31" s="42">
        <f t="shared" si="1"/>
        <v>47</v>
      </c>
      <c r="I31" s="41"/>
      <c r="J31" s="41"/>
      <c r="K31" s="41">
        <f>SUM(Result2!$I31:$J31)</f>
        <v>0</v>
      </c>
      <c r="L31" s="41"/>
      <c r="M31" s="41">
        <f>SUM(Result2!$K31:$L31)</f>
        <v>0</v>
      </c>
      <c r="N31" s="47" t="str">
        <f>IF(Result2!$H31&gt;40,"ON LEVEL", IF(Result2!$H31&gt;30,"APPROACH", "BELOW LEVEL"))</f>
        <v>ON LEVEL</v>
      </c>
      <c r="O31" s="47" t="str">
        <f>IF(Result2!$M31&gt;40,"ONLEVEL", IF(Result2!$M31&gt;20,"APPROACH", "BELOW LEVEL"))</f>
        <v>BELOW LEVEL</v>
      </c>
    </row>
    <row r="32" spans="1:15" ht="18.75" customHeight="1" x14ac:dyDescent="0.45">
      <c r="A32" s="44">
        <v>29</v>
      </c>
      <c r="B32" s="49" t="s">
        <v>68</v>
      </c>
      <c r="C32" s="50" t="s">
        <v>61</v>
      </c>
      <c r="D32" s="40">
        <v>10</v>
      </c>
      <c r="E32" s="7">
        <v>10</v>
      </c>
      <c r="F32" s="7">
        <f t="shared" si="0"/>
        <v>20</v>
      </c>
      <c r="G32" s="7">
        <v>30</v>
      </c>
      <c r="H32" s="42">
        <f t="shared" si="1"/>
        <v>50</v>
      </c>
      <c r="I32" s="41"/>
      <c r="J32" s="41"/>
      <c r="K32" s="41">
        <f>SUM(Result2!$I32:$J32)</f>
        <v>0</v>
      </c>
      <c r="L32" s="41"/>
      <c r="M32" s="41">
        <f>SUM(Result2!$K32:$L32)</f>
        <v>0</v>
      </c>
      <c r="N32" s="47" t="str">
        <f>IF(Result2!$H32&gt;40,"ON LEVEL", IF(Result2!$H32&gt;30,"APPROACH", "BELOW LEVEL"))</f>
        <v>ON LEVEL</v>
      </c>
      <c r="O32" s="47" t="str">
        <f>IF(Result2!$M32&gt;40,"ONLEVEL", IF(Result2!$M32&gt;20,"APPROACH", "BELOW LEVEL"))</f>
        <v>BELOW LEVEL</v>
      </c>
    </row>
    <row r="33" spans="1:15" ht="18.75" customHeight="1" x14ac:dyDescent="0.45">
      <c r="A33" s="48">
        <v>30</v>
      </c>
      <c r="B33" s="49" t="s">
        <v>69</v>
      </c>
      <c r="C33" s="50" t="s">
        <v>61</v>
      </c>
      <c r="D33" s="40">
        <v>7.5</v>
      </c>
      <c r="E33" s="7">
        <v>10</v>
      </c>
      <c r="F33" s="7">
        <f t="shared" si="0"/>
        <v>17.5</v>
      </c>
      <c r="G33" s="7">
        <v>26</v>
      </c>
      <c r="H33" s="42">
        <f t="shared" si="1"/>
        <v>43.5</v>
      </c>
      <c r="I33" s="41"/>
      <c r="J33" s="41"/>
      <c r="K33" s="41">
        <f>SUM(Result2!$I33:$J33)</f>
        <v>0</v>
      </c>
      <c r="L33" s="41"/>
      <c r="M33" s="41">
        <f>SUM(Result2!$K33:$L33)</f>
        <v>0</v>
      </c>
      <c r="N33" s="47" t="str">
        <f>IF(Result2!$H33&gt;40,"ON LEVEL", IF(Result2!$H33&gt;30,"APPROACH", "BELOW LEVEL"))</f>
        <v>ON LEVEL</v>
      </c>
      <c r="O33" s="47" t="str">
        <f>IF(Result2!$M33&gt;40,"ONLEVEL", IF(Result2!$M33&gt;20,"APPROACH", "BELOW LEVEL"))</f>
        <v>BELOW LEVEL</v>
      </c>
    </row>
    <row r="34" spans="1:15" ht="18.75" customHeight="1" x14ac:dyDescent="0.45">
      <c r="A34" s="44">
        <v>31</v>
      </c>
      <c r="B34" s="49" t="s">
        <v>70</v>
      </c>
      <c r="C34" s="50" t="s">
        <v>61</v>
      </c>
      <c r="D34" s="40">
        <v>10</v>
      </c>
      <c r="E34" s="7">
        <v>10</v>
      </c>
      <c r="F34" s="7">
        <f t="shared" si="0"/>
        <v>20</v>
      </c>
      <c r="G34" s="7">
        <v>30</v>
      </c>
      <c r="H34" s="42">
        <f t="shared" si="1"/>
        <v>50</v>
      </c>
      <c r="I34" s="41"/>
      <c r="J34" s="41"/>
      <c r="K34" s="41">
        <f>SUM(Result2!$I34:$J34)</f>
        <v>0</v>
      </c>
      <c r="L34" s="41"/>
      <c r="M34" s="41">
        <f>SUM(Result2!$K34:$L34)</f>
        <v>0</v>
      </c>
      <c r="N34" s="47" t="str">
        <f>IF(Result2!$H34&gt;40,"ON LEVEL", IF(Result2!$H34&gt;30,"APPROACH", "BELOW LEVEL"))</f>
        <v>ON LEVEL</v>
      </c>
      <c r="O34" s="47" t="str">
        <f>IF(Result2!$M34&gt;40,"ONLEVEL", IF(Result2!$M34&gt;20,"APPROACH", "BELOW LEVEL"))</f>
        <v>BELOW LEVEL</v>
      </c>
    </row>
    <row r="35" spans="1:15" ht="18.75" customHeight="1" x14ac:dyDescent="0.45">
      <c r="A35" s="48">
        <v>32</v>
      </c>
      <c r="B35" s="49" t="s">
        <v>71</v>
      </c>
      <c r="C35" s="50" t="s">
        <v>61</v>
      </c>
      <c r="D35" s="40">
        <v>9.5</v>
      </c>
      <c r="E35" s="7">
        <v>10</v>
      </c>
      <c r="F35" s="7">
        <f t="shared" si="0"/>
        <v>19.5</v>
      </c>
      <c r="G35" s="7">
        <v>28</v>
      </c>
      <c r="H35" s="42">
        <f t="shared" si="1"/>
        <v>47.5</v>
      </c>
      <c r="I35" s="41"/>
      <c r="J35" s="41"/>
      <c r="K35" s="41">
        <f>SUM(Result2!$I35:$J35)</f>
        <v>0</v>
      </c>
      <c r="L35" s="41"/>
      <c r="M35" s="41">
        <f>SUM(Result2!$K35:$L35)</f>
        <v>0</v>
      </c>
      <c r="N35" s="47" t="str">
        <f>IF(Result2!$H35&gt;40,"ON LEVEL", IF(Result2!$H35&gt;30,"APPROACH", "BELOW LEVEL"))</f>
        <v>ON LEVEL</v>
      </c>
      <c r="O35" s="47" t="str">
        <f>IF(Result2!$M35&gt;40,"ONLEVEL", IF(Result2!$M35&gt;20,"APPROACH", "BELOW LEVEL"))</f>
        <v>BELOW LEVEL</v>
      </c>
    </row>
    <row r="36" spans="1:15" ht="18.75" customHeight="1" x14ac:dyDescent="0.45">
      <c r="A36" s="44">
        <v>33</v>
      </c>
      <c r="B36" s="49" t="s">
        <v>72</v>
      </c>
      <c r="C36" s="50" t="s">
        <v>61</v>
      </c>
      <c r="D36" s="40">
        <v>10</v>
      </c>
      <c r="E36" s="7">
        <v>10</v>
      </c>
      <c r="F36" s="7">
        <f t="shared" si="0"/>
        <v>20</v>
      </c>
      <c r="G36" s="7">
        <v>29</v>
      </c>
      <c r="H36" s="42">
        <f t="shared" si="1"/>
        <v>49</v>
      </c>
      <c r="I36" s="41"/>
      <c r="J36" s="41"/>
      <c r="K36" s="41">
        <f>SUM(Result2!$I36:$J36)</f>
        <v>0</v>
      </c>
      <c r="L36" s="41"/>
      <c r="M36" s="41">
        <f>SUM(Result2!$K36:$L36)</f>
        <v>0</v>
      </c>
      <c r="N36" s="47" t="str">
        <f>IF(Result2!$H36&gt;40,"ON LEVEL", IF(Result2!$H36&gt;30,"APPROACH", "BELOW LEVEL"))</f>
        <v>ON LEVEL</v>
      </c>
      <c r="O36" s="47" t="str">
        <f>IF(Result2!$M36&gt;40,"ONLEVEL", IF(Result2!$M36&gt;20,"APPROACH", "BELOW LEVEL"))</f>
        <v>BELOW LEVEL</v>
      </c>
    </row>
    <row r="37" spans="1:15" ht="18.75" customHeight="1" x14ac:dyDescent="0.45">
      <c r="A37" s="48">
        <v>34</v>
      </c>
      <c r="B37" s="49" t="s">
        <v>73</v>
      </c>
      <c r="C37" s="50" t="s">
        <v>61</v>
      </c>
      <c r="D37" s="40">
        <v>8.5</v>
      </c>
      <c r="E37" s="7">
        <v>10</v>
      </c>
      <c r="F37" s="7">
        <f t="shared" si="0"/>
        <v>18.5</v>
      </c>
      <c r="G37" s="7">
        <v>25</v>
      </c>
      <c r="H37" s="42">
        <f t="shared" si="1"/>
        <v>43.5</v>
      </c>
      <c r="I37" s="41"/>
      <c r="J37" s="41"/>
      <c r="K37" s="41">
        <f>SUM(Result2!$I37:$J37)</f>
        <v>0</v>
      </c>
      <c r="L37" s="41"/>
      <c r="M37" s="41">
        <f>SUM(Result2!$K37:$L37)</f>
        <v>0</v>
      </c>
      <c r="N37" s="47" t="str">
        <f>IF(Result2!$H37&gt;40,"ON LEVEL", IF(Result2!$H37&gt;30,"APPROACH", "BELOW LEVEL"))</f>
        <v>ON LEVEL</v>
      </c>
      <c r="O37" s="47" t="str">
        <f>IF(Result2!$M37&gt;40,"ONLEVEL", IF(Result2!$M37&gt;20,"APPROACH", "BELOW LEVEL"))</f>
        <v>BELOW LEVEL</v>
      </c>
    </row>
    <row r="38" spans="1:15" ht="18.75" customHeight="1" x14ac:dyDescent="0.45">
      <c r="A38" s="44">
        <v>35</v>
      </c>
      <c r="B38" s="49" t="s">
        <v>74</v>
      </c>
      <c r="C38" s="50" t="s">
        <v>61</v>
      </c>
      <c r="D38" s="40">
        <v>10</v>
      </c>
      <c r="E38" s="7">
        <v>10</v>
      </c>
      <c r="F38" s="7">
        <f t="shared" si="0"/>
        <v>20</v>
      </c>
      <c r="G38" s="7">
        <v>28</v>
      </c>
      <c r="H38" s="42">
        <f t="shared" si="1"/>
        <v>48</v>
      </c>
      <c r="I38" s="41"/>
      <c r="J38" s="41"/>
      <c r="K38" s="41">
        <f>SUM(Result2!$I38:$J38)</f>
        <v>0</v>
      </c>
      <c r="L38" s="41"/>
      <c r="M38" s="41">
        <f>SUM(Result2!$K38:$L38)</f>
        <v>0</v>
      </c>
      <c r="N38" s="47" t="str">
        <f>IF(Result2!$H38&gt;40,"ON LEVEL", IF(Result2!$H38&gt;30,"APPROACH", "BELOW LEVEL"))</f>
        <v>ON LEVEL</v>
      </c>
      <c r="O38" s="47" t="str">
        <f>IF(Result2!$M38&gt;40,"ONLEVEL", IF(Result2!$M38&gt;20,"APPROACH", "BELOW LEVEL"))</f>
        <v>BELOW LEVEL</v>
      </c>
    </row>
    <row r="39" spans="1:15" ht="18.75" customHeight="1" x14ac:dyDescent="0.45">
      <c r="A39" s="48">
        <v>36</v>
      </c>
      <c r="B39" s="49" t="s">
        <v>75</v>
      </c>
      <c r="C39" s="50" t="s">
        <v>61</v>
      </c>
      <c r="D39" s="40">
        <v>10</v>
      </c>
      <c r="E39" s="7">
        <v>10</v>
      </c>
      <c r="F39" s="7">
        <f t="shared" si="0"/>
        <v>20</v>
      </c>
      <c r="G39" s="99">
        <v>27.5</v>
      </c>
      <c r="H39" s="42">
        <f t="shared" si="1"/>
        <v>47.5</v>
      </c>
      <c r="I39" s="41"/>
      <c r="J39" s="41"/>
      <c r="K39" s="41">
        <f>SUM(Result2!$I39:$J39)</f>
        <v>0</v>
      </c>
      <c r="L39" s="41"/>
      <c r="M39" s="41">
        <f>SUM(Result2!$K39:$L39)</f>
        <v>0</v>
      </c>
      <c r="N39" s="47" t="str">
        <f>IF(Result2!$H39&gt;40,"ON LEVEL", IF(Result2!$H39&gt;30,"APPROACH", "BELOW LEVEL"))</f>
        <v>ON LEVEL</v>
      </c>
      <c r="O39" s="47" t="str">
        <f>IF(Result2!$M39&gt;40,"ONLEVEL", IF(Result2!$M39&gt;20,"APPROACH", "BELOW LEVEL"))</f>
        <v>BELOW LEVEL</v>
      </c>
    </row>
    <row r="40" spans="1:15" ht="18.75" customHeight="1" x14ac:dyDescent="0.45">
      <c r="A40" s="44">
        <v>37</v>
      </c>
      <c r="B40" s="49" t="s">
        <v>76</v>
      </c>
      <c r="C40" s="50" t="s">
        <v>61</v>
      </c>
      <c r="D40" s="40">
        <v>9</v>
      </c>
      <c r="E40" s="7">
        <v>10</v>
      </c>
      <c r="F40" s="7">
        <f t="shared" si="0"/>
        <v>19</v>
      </c>
      <c r="G40" s="7">
        <v>27</v>
      </c>
      <c r="H40" s="42">
        <f t="shared" si="1"/>
        <v>46</v>
      </c>
      <c r="I40" s="41"/>
      <c r="J40" s="41"/>
      <c r="K40" s="41">
        <f>SUM(Result2!$I40:$J40)</f>
        <v>0</v>
      </c>
      <c r="L40" s="41"/>
      <c r="M40" s="41">
        <f>SUM(Result2!$K40:$L40)</f>
        <v>0</v>
      </c>
      <c r="N40" s="47" t="str">
        <f>IF(Result2!$H40&gt;40,"ON LEVEL", IF(Result2!$H40&gt;30,"APPROACH", "BELOW LEVEL"))</f>
        <v>ON LEVEL</v>
      </c>
      <c r="O40" s="47" t="str">
        <f>IF(Result2!$M40&gt;40,"ONLEVEL", IF(Result2!$M40&gt;20,"APPROACH", "BELOW LEVEL"))</f>
        <v>BELOW LEVEL</v>
      </c>
    </row>
    <row r="41" spans="1:15" ht="18.75" customHeight="1" x14ac:dyDescent="0.45">
      <c r="A41" s="48">
        <v>38</v>
      </c>
      <c r="B41" s="49" t="s">
        <v>77</v>
      </c>
      <c r="C41" s="50" t="s">
        <v>61</v>
      </c>
      <c r="D41" s="40">
        <v>9</v>
      </c>
      <c r="E41" s="7">
        <v>10</v>
      </c>
      <c r="F41" s="7">
        <f t="shared" si="0"/>
        <v>19</v>
      </c>
      <c r="G41" s="7">
        <v>25</v>
      </c>
      <c r="H41" s="42">
        <f t="shared" si="1"/>
        <v>44</v>
      </c>
      <c r="I41" s="41"/>
      <c r="J41" s="41"/>
      <c r="K41" s="41">
        <f>SUM(Result2!$I41:$J41)</f>
        <v>0</v>
      </c>
      <c r="L41" s="41"/>
      <c r="M41" s="41">
        <f>SUM(Result2!$K41:$L41)</f>
        <v>0</v>
      </c>
      <c r="N41" s="47" t="str">
        <f>IF(Result2!$H41&gt;40,"ON LEVEL", IF(Result2!$H41&gt;30,"APPROACH", "BELOW LEVEL"))</f>
        <v>ON LEVEL</v>
      </c>
      <c r="O41" s="47" t="str">
        <f>IF(Result2!$M41&gt;40,"ONLEVEL", IF(Result2!$M41&gt;20,"APPROACH", "BELOW LEVEL"))</f>
        <v>BELOW LEVEL</v>
      </c>
    </row>
    <row r="42" spans="1:15" ht="18.75" customHeight="1" x14ac:dyDescent="0.45">
      <c r="A42" s="48">
        <v>39</v>
      </c>
      <c r="B42" s="49" t="s">
        <v>78</v>
      </c>
      <c r="C42" s="50" t="s">
        <v>61</v>
      </c>
      <c r="D42" s="40">
        <v>9</v>
      </c>
      <c r="E42" s="7">
        <v>10</v>
      </c>
      <c r="F42" s="7">
        <f t="shared" si="0"/>
        <v>19</v>
      </c>
      <c r="G42" s="99">
        <v>25.5</v>
      </c>
      <c r="H42" s="42">
        <f t="shared" si="1"/>
        <v>44.5</v>
      </c>
      <c r="I42" s="41"/>
      <c r="J42" s="41"/>
      <c r="K42" s="41">
        <f>SUM(Result2!$I42:$J42)</f>
        <v>0</v>
      </c>
      <c r="L42" s="41"/>
      <c r="M42" s="41">
        <f>SUM(Result2!$K42:$L42)</f>
        <v>0</v>
      </c>
      <c r="N42" s="47" t="str">
        <f>IF(Result2!$H42&gt;40,"ON LEVEL", IF(Result2!$H42&gt;30,"APPROACH", "BELOW LEVEL"))</f>
        <v>ON LEVEL</v>
      </c>
      <c r="O42" s="47" t="str">
        <f>IF(Result2!$M42&gt;40,"ONLEVEL", IF(Result2!$M42&gt;20,"APPROACH", "BELOW LEVEL"))</f>
        <v>BELOW LEVEL</v>
      </c>
    </row>
    <row r="43" spans="1:15" ht="15.75" customHeight="1" x14ac:dyDescent="0.45">
      <c r="A43" s="48">
        <v>41</v>
      </c>
      <c r="B43" s="49" t="s">
        <v>79</v>
      </c>
      <c r="C43" s="50" t="s">
        <v>61</v>
      </c>
      <c r="D43" s="40">
        <v>9</v>
      </c>
      <c r="E43" s="7">
        <v>10</v>
      </c>
      <c r="F43" s="7">
        <f t="shared" si="0"/>
        <v>19</v>
      </c>
      <c r="G43" s="7">
        <v>30</v>
      </c>
      <c r="H43" s="42">
        <f t="shared" si="1"/>
        <v>49</v>
      </c>
      <c r="I43" s="41"/>
      <c r="J43" s="41"/>
      <c r="K43" s="41">
        <f>SUM(Result2!$I43:$J43)</f>
        <v>0</v>
      </c>
      <c r="L43" s="41"/>
      <c r="M43" s="41">
        <f>SUM(Result2!$K43:$L43)</f>
        <v>0</v>
      </c>
      <c r="N43" s="47" t="str">
        <f>IF(Result2!$H43&gt;40,"ON LEVEL", IF(Result2!$H43&gt;30,"APPROACH", "BELOW LEVEL"))</f>
        <v>ON LEVEL</v>
      </c>
      <c r="O43" s="47" t="str">
        <f>IF(Result2!$M43&gt;40,"ONLEVEL", IF(Result2!$M43&gt;20,"APPROACH", "BELOW LEVEL"))</f>
        <v>BELOW LEVEL</v>
      </c>
    </row>
    <row r="44" spans="1:15" ht="15.75" customHeight="1" x14ac:dyDescent="0.45">
      <c r="A44" s="48">
        <v>42</v>
      </c>
      <c r="B44" s="49" t="s">
        <v>80</v>
      </c>
      <c r="C44" s="50" t="s">
        <v>61</v>
      </c>
      <c r="D44" s="40">
        <v>10</v>
      </c>
      <c r="E44" s="7">
        <v>10</v>
      </c>
      <c r="F44" s="7">
        <f t="shared" si="0"/>
        <v>20</v>
      </c>
      <c r="G44" s="99">
        <v>27.5</v>
      </c>
      <c r="H44" s="42">
        <f t="shared" si="1"/>
        <v>47.5</v>
      </c>
      <c r="I44" s="41"/>
      <c r="J44" s="41"/>
      <c r="K44" s="41">
        <f>SUM(Result2!$I44:$J44)</f>
        <v>0</v>
      </c>
      <c r="L44" s="41"/>
      <c r="M44" s="41">
        <f>SUM(Result2!$K44:$L44)</f>
        <v>0</v>
      </c>
      <c r="N44" s="47" t="str">
        <f>IF(Result2!$H44&gt;40,"ON LEVEL", IF(Result2!$H44&gt;30,"APPROACH", "BELOW LEVEL"))</f>
        <v>ON LEVEL</v>
      </c>
      <c r="O44" s="47" t="str">
        <f>IF(Result2!$M44&gt;40,"ONLEVEL", IF(Result2!$M44&gt;20,"APPROACH", "BELOW LEVEL"))</f>
        <v>BELOW LEVEL</v>
      </c>
    </row>
    <row r="45" spans="1:15" ht="15.75" customHeight="1" x14ac:dyDescent="0.45">
      <c r="A45" s="48">
        <v>43</v>
      </c>
      <c r="B45" s="49" t="s">
        <v>81</v>
      </c>
      <c r="C45" s="50" t="s">
        <v>82</v>
      </c>
      <c r="D45" s="40">
        <v>10</v>
      </c>
      <c r="E45" s="7">
        <v>10</v>
      </c>
      <c r="F45" s="7">
        <f t="shared" si="0"/>
        <v>20</v>
      </c>
      <c r="G45" s="7">
        <v>30</v>
      </c>
      <c r="H45" s="42">
        <f t="shared" si="1"/>
        <v>50</v>
      </c>
      <c r="I45" s="41"/>
      <c r="J45" s="41"/>
      <c r="K45" s="41">
        <f>SUM(Result2!$I45:$J45)</f>
        <v>0</v>
      </c>
      <c r="L45" s="41"/>
      <c r="M45" s="41">
        <f>SUM(Result2!$K45:$L45)</f>
        <v>0</v>
      </c>
      <c r="N45" s="47" t="str">
        <f>IF(Result2!$H45&gt;40,"ON LEVEL", IF(Result2!$H45&gt;30,"APPROACH", "BELOW LEVEL"))</f>
        <v>ON LEVEL</v>
      </c>
      <c r="O45" s="47" t="str">
        <f>IF(Result2!$M45&gt;40,"ONLEVEL", IF(Result2!$M45&gt;20,"APPROACH", "BELOW LEVEL"))</f>
        <v>BELOW LEVEL</v>
      </c>
    </row>
    <row r="46" spans="1:15" ht="15.75" customHeight="1" x14ac:dyDescent="0.45">
      <c r="A46" s="48">
        <v>44</v>
      </c>
      <c r="B46" s="49" t="s">
        <v>83</v>
      </c>
      <c r="C46" s="50" t="s">
        <v>82</v>
      </c>
      <c r="D46" s="40">
        <v>10</v>
      </c>
      <c r="E46" s="7">
        <v>10</v>
      </c>
      <c r="F46" s="7">
        <f t="shared" si="0"/>
        <v>20</v>
      </c>
      <c r="G46" s="99">
        <v>29.5</v>
      </c>
      <c r="H46" s="42">
        <f t="shared" si="1"/>
        <v>49.5</v>
      </c>
      <c r="I46" s="41"/>
      <c r="J46" s="41"/>
      <c r="K46" s="41">
        <f>SUM(Result2!$I46:$J46)</f>
        <v>0</v>
      </c>
      <c r="L46" s="41"/>
      <c r="M46" s="41">
        <f>SUM(Result2!$K46:$L46)</f>
        <v>0</v>
      </c>
      <c r="N46" s="47" t="str">
        <f>IF(Result2!$H46&gt;40,"ON LEVEL", IF(Result2!$H46&gt;30,"APPROACH", "BELOW LEVEL"))</f>
        <v>ON LEVEL</v>
      </c>
      <c r="O46" s="47" t="str">
        <f>IF(Result2!$M46&gt;40,"ONLEVEL", IF(Result2!$M46&gt;20,"APPROACH", "BELOW LEVEL"))</f>
        <v>BELOW LEVEL</v>
      </c>
    </row>
    <row r="47" spans="1:15" ht="15.75" customHeight="1" x14ac:dyDescent="0.45">
      <c r="A47" s="48">
        <v>45</v>
      </c>
      <c r="B47" s="49" t="s">
        <v>84</v>
      </c>
      <c r="C47" s="50" t="s">
        <v>82</v>
      </c>
      <c r="D47" s="40">
        <v>10</v>
      </c>
      <c r="E47" s="7">
        <v>10</v>
      </c>
      <c r="F47" s="7">
        <f t="shared" si="0"/>
        <v>20</v>
      </c>
      <c r="G47" s="7">
        <v>30</v>
      </c>
      <c r="H47" s="42">
        <f t="shared" si="1"/>
        <v>50</v>
      </c>
      <c r="I47" s="41"/>
      <c r="J47" s="41"/>
      <c r="K47" s="41">
        <f>SUM(Result2!$I47:$J47)</f>
        <v>0</v>
      </c>
      <c r="L47" s="41"/>
      <c r="M47" s="41">
        <f>SUM(Result2!$K47:$L47)</f>
        <v>0</v>
      </c>
      <c r="N47" s="47" t="str">
        <f>IF(Result2!$H47&gt;40,"ON LEVEL", IF(Result2!$H47&gt;30,"APPROACH", "BELOW LEVEL"))</f>
        <v>ON LEVEL</v>
      </c>
      <c r="O47" s="47" t="str">
        <f>IF(Result2!$M47&gt;40,"ONLEVEL", IF(Result2!$M47&gt;20,"APPROACH", "BELOW LEVEL"))</f>
        <v>BELOW LEVEL</v>
      </c>
    </row>
    <row r="48" spans="1:15" ht="15.75" customHeight="1" x14ac:dyDescent="0.45">
      <c r="A48" s="48">
        <v>46</v>
      </c>
      <c r="B48" s="49" t="s">
        <v>85</v>
      </c>
      <c r="C48" s="50" t="s">
        <v>82</v>
      </c>
      <c r="D48" s="40">
        <v>9.5</v>
      </c>
      <c r="E48" s="7">
        <v>10</v>
      </c>
      <c r="F48" s="7">
        <f t="shared" si="0"/>
        <v>19.5</v>
      </c>
      <c r="G48" s="7">
        <v>29</v>
      </c>
      <c r="H48" s="42">
        <f t="shared" si="1"/>
        <v>48.5</v>
      </c>
      <c r="I48" s="41"/>
      <c r="J48" s="41"/>
      <c r="K48" s="41">
        <f>SUM(Result2!$I48:$J48)</f>
        <v>0</v>
      </c>
      <c r="L48" s="41"/>
      <c r="M48" s="41">
        <f>SUM(Result2!$K48:$L48)</f>
        <v>0</v>
      </c>
      <c r="N48" s="47" t="str">
        <f>IF(Result2!$H48&gt;40,"ON LEVEL", IF(Result2!$H48&gt;30,"APPROACH", "BELOW LEVEL"))</f>
        <v>ON LEVEL</v>
      </c>
      <c r="O48" s="47" t="str">
        <f>IF(Result2!$M48&gt;40,"ONLEVEL", IF(Result2!$M48&gt;20,"APPROACH", "BELOW LEVEL"))</f>
        <v>BELOW LEVEL</v>
      </c>
    </row>
    <row r="49" spans="1:15" ht="15.75" customHeight="1" x14ac:dyDescent="0.45">
      <c r="A49" s="48">
        <v>47</v>
      </c>
      <c r="B49" s="49" t="s">
        <v>86</v>
      </c>
      <c r="C49" s="50" t="s">
        <v>82</v>
      </c>
      <c r="D49" s="40">
        <v>9.5</v>
      </c>
      <c r="E49" s="7">
        <v>10</v>
      </c>
      <c r="F49" s="7">
        <f t="shared" si="0"/>
        <v>19.5</v>
      </c>
      <c r="G49" s="7">
        <v>30</v>
      </c>
      <c r="H49" s="42">
        <f t="shared" si="1"/>
        <v>49.5</v>
      </c>
      <c r="I49" s="41"/>
      <c r="J49" s="41"/>
      <c r="K49" s="41">
        <f>SUM(Result2!$I49:$J49)</f>
        <v>0</v>
      </c>
      <c r="L49" s="41"/>
      <c r="M49" s="41">
        <f>SUM(Result2!$K49:$L49)</f>
        <v>0</v>
      </c>
      <c r="N49" s="47" t="str">
        <f>IF(Result2!$H49&gt;40,"ON LEVEL", IF(Result2!$H49&gt;30,"APPROACH", "BELOW LEVEL"))</f>
        <v>ON LEVEL</v>
      </c>
      <c r="O49" s="47" t="str">
        <f>IF(Result2!$M49&gt;40,"ONLEVEL", IF(Result2!$M49&gt;20,"APPROACH", "BELOW LEVEL"))</f>
        <v>BELOW LEVEL</v>
      </c>
    </row>
    <row r="50" spans="1:15" ht="15.75" customHeight="1" x14ac:dyDescent="0.45">
      <c r="A50" s="48">
        <v>48</v>
      </c>
      <c r="B50" s="49" t="s">
        <v>87</v>
      </c>
      <c r="C50" s="50" t="s">
        <v>82</v>
      </c>
      <c r="D50" s="40">
        <v>10</v>
      </c>
      <c r="E50" s="7">
        <v>10</v>
      </c>
      <c r="F50" s="7">
        <f t="shared" si="0"/>
        <v>20</v>
      </c>
      <c r="G50" s="7">
        <v>30</v>
      </c>
      <c r="H50" s="42">
        <f t="shared" si="1"/>
        <v>50</v>
      </c>
      <c r="I50" s="41"/>
      <c r="J50" s="41"/>
      <c r="K50" s="41">
        <f>SUM(Result2!$I50:$J50)</f>
        <v>0</v>
      </c>
      <c r="L50" s="41"/>
      <c r="M50" s="41">
        <f>SUM(Result2!$K50:$L50)</f>
        <v>0</v>
      </c>
      <c r="N50" s="47" t="str">
        <f>IF(Result2!$H50&gt;40,"ON LEVEL", IF(Result2!$H50&gt;30,"APPROACH", "BELOW LEVEL"))</f>
        <v>ON LEVEL</v>
      </c>
      <c r="O50" s="47" t="str">
        <f>IF(Result2!$M50&gt;40,"ONLEVEL", IF(Result2!$M50&gt;20,"APPROACH", "BELOW LEVEL"))</f>
        <v>BELOW LEVEL</v>
      </c>
    </row>
    <row r="51" spans="1:15" ht="15.75" customHeight="1" x14ac:dyDescent="0.45">
      <c r="A51" s="48">
        <v>49</v>
      </c>
      <c r="B51" s="49" t="s">
        <v>88</v>
      </c>
      <c r="C51" s="50" t="s">
        <v>82</v>
      </c>
      <c r="D51" s="40">
        <v>10</v>
      </c>
      <c r="E51" s="7">
        <v>10</v>
      </c>
      <c r="F51" s="7">
        <f t="shared" si="0"/>
        <v>20</v>
      </c>
      <c r="G51" s="99">
        <v>29.5</v>
      </c>
      <c r="H51" s="42">
        <f t="shared" si="1"/>
        <v>49.5</v>
      </c>
      <c r="I51" s="41"/>
      <c r="J51" s="41"/>
      <c r="K51" s="41">
        <f>SUM(Result2!$I51:$J51)</f>
        <v>0</v>
      </c>
      <c r="L51" s="41"/>
      <c r="M51" s="41">
        <f>SUM(Result2!$K51:$L51)</f>
        <v>0</v>
      </c>
      <c r="N51" s="47" t="str">
        <f>IF(Result2!$H51&gt;40,"ON LEVEL", IF(Result2!$H51&gt;30,"APPROACH", "BELOW LEVEL"))</f>
        <v>ON LEVEL</v>
      </c>
      <c r="O51" s="47" t="str">
        <f>IF(Result2!$M51&gt;40,"ONLEVEL", IF(Result2!$M51&gt;20,"APPROACH", "BELOW LEVEL"))</f>
        <v>BELOW LEVEL</v>
      </c>
    </row>
    <row r="52" spans="1:15" ht="15.75" customHeight="1" x14ac:dyDescent="0.45">
      <c r="A52" s="48">
        <v>50</v>
      </c>
      <c r="B52" s="49" t="s">
        <v>89</v>
      </c>
      <c r="C52" s="50" t="s">
        <v>82</v>
      </c>
      <c r="D52" s="40">
        <v>9</v>
      </c>
      <c r="E52" s="7">
        <v>10</v>
      </c>
      <c r="F52" s="7">
        <f t="shared" si="0"/>
        <v>19</v>
      </c>
      <c r="G52" s="99">
        <v>28.5</v>
      </c>
      <c r="H52" s="42">
        <f t="shared" si="1"/>
        <v>47.5</v>
      </c>
      <c r="I52" s="41"/>
      <c r="J52" s="41"/>
      <c r="K52" s="41">
        <f>SUM(Result2!$I52:$J52)</f>
        <v>0</v>
      </c>
      <c r="L52" s="41"/>
      <c r="M52" s="41">
        <f>SUM(Result2!$K52:$L52)</f>
        <v>0</v>
      </c>
      <c r="N52" s="47" t="str">
        <f>IF(Result2!$H52&gt;40,"ON LEVEL", IF(Result2!$H52&gt;30,"APPROACH", "BELOW LEVEL"))</f>
        <v>ON LEVEL</v>
      </c>
      <c r="O52" s="47" t="str">
        <f>IF(Result2!$M52&gt;40,"ONLEVEL", IF(Result2!$M52&gt;20,"APPROACH", "BELOW LEVEL"))</f>
        <v>BELOW LEVEL</v>
      </c>
    </row>
    <row r="53" spans="1:15" ht="15.75" customHeight="1" x14ac:dyDescent="0.45">
      <c r="A53" s="48">
        <v>51</v>
      </c>
      <c r="B53" s="49" t="s">
        <v>90</v>
      </c>
      <c r="C53" s="50" t="s">
        <v>82</v>
      </c>
      <c r="D53" s="40">
        <v>10</v>
      </c>
      <c r="E53" s="7">
        <v>10</v>
      </c>
      <c r="F53" s="7">
        <f t="shared" si="0"/>
        <v>20</v>
      </c>
      <c r="G53" s="99">
        <v>29.5</v>
      </c>
      <c r="H53" s="42">
        <f t="shared" si="1"/>
        <v>49.5</v>
      </c>
      <c r="I53" s="41"/>
      <c r="J53" s="41"/>
      <c r="K53" s="41">
        <f>SUM(Result2!$I53:$J53)</f>
        <v>0</v>
      </c>
      <c r="L53" s="41"/>
      <c r="M53" s="41">
        <f>SUM(Result2!$K53:$L53)</f>
        <v>0</v>
      </c>
      <c r="N53" s="47" t="str">
        <f>IF(Result2!$H53&gt;40,"ON LEVEL", IF(Result2!$H53&gt;30,"APPROACH", "BELOW LEVEL"))</f>
        <v>ON LEVEL</v>
      </c>
      <c r="O53" s="47" t="str">
        <f>IF(Result2!$M53&gt;40,"ONLEVEL", IF(Result2!$M53&gt;20,"APPROACH", "BELOW LEVEL"))</f>
        <v>BELOW LEVEL</v>
      </c>
    </row>
    <row r="54" spans="1:15" ht="15.75" customHeight="1" x14ac:dyDescent="0.45">
      <c r="A54" s="48">
        <v>52</v>
      </c>
      <c r="B54" s="49" t="s">
        <v>91</v>
      </c>
      <c r="C54" s="50" t="s">
        <v>82</v>
      </c>
      <c r="D54" s="40">
        <v>10</v>
      </c>
      <c r="E54" s="7">
        <v>10</v>
      </c>
      <c r="F54" s="7">
        <f t="shared" si="0"/>
        <v>20</v>
      </c>
      <c r="G54" s="99">
        <v>27.5</v>
      </c>
      <c r="H54" s="42">
        <f t="shared" si="1"/>
        <v>47.5</v>
      </c>
      <c r="I54" s="41"/>
      <c r="J54" s="41"/>
      <c r="K54" s="41">
        <f>SUM(Result2!$I54:$J54)</f>
        <v>0</v>
      </c>
      <c r="L54" s="41"/>
      <c r="M54" s="41">
        <f>SUM(Result2!$K54:$L54)</f>
        <v>0</v>
      </c>
      <c r="N54" s="47" t="str">
        <f>IF(Result2!$H54&gt;40,"ON LEVEL", IF(Result2!$H54&gt;30,"APPROACH", "BELOW LEVEL"))</f>
        <v>ON LEVEL</v>
      </c>
      <c r="O54" s="47" t="str">
        <f>IF(Result2!$M54&gt;40,"ONLEVEL", IF(Result2!$M54&gt;20,"APPROACH", "BELOW LEVEL"))</f>
        <v>BELOW LEVEL</v>
      </c>
    </row>
    <row r="55" spans="1:15" ht="15.75" customHeight="1" x14ac:dyDescent="0.45">
      <c r="A55" s="48">
        <v>53</v>
      </c>
      <c r="B55" s="49" t="s">
        <v>92</v>
      </c>
      <c r="C55" s="50" t="s">
        <v>82</v>
      </c>
      <c r="D55" s="40">
        <v>9.5</v>
      </c>
      <c r="E55" s="7">
        <v>10</v>
      </c>
      <c r="F55" s="7">
        <f t="shared" si="0"/>
        <v>19.5</v>
      </c>
      <c r="G55" s="99">
        <v>29.5</v>
      </c>
      <c r="H55" s="42">
        <f t="shared" si="1"/>
        <v>49</v>
      </c>
      <c r="I55" s="41"/>
      <c r="J55" s="41"/>
      <c r="K55" s="41">
        <f>SUM(Result2!$I55:$J55)</f>
        <v>0</v>
      </c>
      <c r="L55" s="41"/>
      <c r="M55" s="41">
        <f>SUM(Result2!$K55:$L55)</f>
        <v>0</v>
      </c>
      <c r="N55" s="47" t="str">
        <f>IF(Result2!$H55&gt;40,"ON LEVEL", IF(Result2!$H55&gt;30,"APPROACH", "BELOW LEVEL"))</f>
        <v>ON LEVEL</v>
      </c>
      <c r="O55" s="47" t="str">
        <f>IF(Result2!$M55&gt;40,"ONLEVEL", IF(Result2!$M55&gt;20,"APPROACH", "BELOW LEVEL"))</f>
        <v>BELOW LEVEL</v>
      </c>
    </row>
    <row r="56" spans="1:15" ht="15.75" customHeight="1" x14ac:dyDescent="0.45">
      <c r="A56" s="48">
        <v>54</v>
      </c>
      <c r="B56" s="49" t="s">
        <v>93</v>
      </c>
      <c r="C56" s="50" t="s">
        <v>82</v>
      </c>
      <c r="D56" s="40">
        <v>10</v>
      </c>
      <c r="E56" s="7">
        <v>10</v>
      </c>
      <c r="F56" s="7">
        <f t="shared" si="0"/>
        <v>20</v>
      </c>
      <c r="G56" s="99">
        <v>29.5</v>
      </c>
      <c r="H56" s="42">
        <f t="shared" si="1"/>
        <v>49.5</v>
      </c>
      <c r="I56" s="41"/>
      <c r="J56" s="41"/>
      <c r="K56" s="41">
        <f>SUM(Result2!$I56:$J56)</f>
        <v>0</v>
      </c>
      <c r="L56" s="41"/>
      <c r="M56" s="41">
        <f>SUM(Result2!$K56:$L56)</f>
        <v>0</v>
      </c>
      <c r="N56" s="47" t="str">
        <f>IF(Result2!$H56&gt;40,"ON LEVEL", IF(Result2!$H56&gt;30,"APPROACH", "BELOW LEVEL"))</f>
        <v>ON LEVEL</v>
      </c>
      <c r="O56" s="47" t="str">
        <f>IF(Result2!$M56&gt;40,"ONLEVEL", IF(Result2!$M56&gt;20,"APPROACH", "BELOW LEVEL"))</f>
        <v>BELOW LEVEL</v>
      </c>
    </row>
    <row r="57" spans="1:15" ht="15.75" customHeight="1" x14ac:dyDescent="0.45">
      <c r="A57" s="48">
        <v>55</v>
      </c>
      <c r="B57" s="49" t="s">
        <v>94</v>
      </c>
      <c r="C57" s="50" t="s">
        <v>82</v>
      </c>
      <c r="D57" s="40">
        <v>10</v>
      </c>
      <c r="E57" s="7">
        <v>10</v>
      </c>
      <c r="F57" s="7">
        <f t="shared" si="0"/>
        <v>20</v>
      </c>
      <c r="G57" s="99">
        <v>29.5</v>
      </c>
      <c r="H57" s="42">
        <f t="shared" si="1"/>
        <v>49.5</v>
      </c>
      <c r="I57" s="41"/>
      <c r="J57" s="41"/>
      <c r="K57" s="41">
        <f>SUM(Result2!$I57:$J57)</f>
        <v>0</v>
      </c>
      <c r="L57" s="41"/>
      <c r="M57" s="41">
        <f>SUM(Result2!$K57:$L57)</f>
        <v>0</v>
      </c>
      <c r="N57" s="47" t="str">
        <f>IF(Result2!$H57&gt;40,"ON LEVEL", IF(Result2!$H57&gt;30,"APPROACH", "BELOW LEVEL"))</f>
        <v>ON LEVEL</v>
      </c>
      <c r="O57" s="47" t="str">
        <f>IF(Result2!$M57&gt;40,"ONLEVEL", IF(Result2!$M57&gt;20,"APPROACH", "BELOW LEVEL"))</f>
        <v>BELOW LEVEL</v>
      </c>
    </row>
    <row r="58" spans="1:15" ht="15.75" customHeight="1" x14ac:dyDescent="0.45">
      <c r="A58" s="48">
        <v>56</v>
      </c>
      <c r="B58" s="49" t="s">
        <v>95</v>
      </c>
      <c r="C58" s="50" t="s">
        <v>82</v>
      </c>
      <c r="D58" s="40">
        <v>10</v>
      </c>
      <c r="E58" s="7">
        <v>10</v>
      </c>
      <c r="F58" s="7">
        <f t="shared" si="0"/>
        <v>20</v>
      </c>
      <c r="G58" s="7">
        <v>30</v>
      </c>
      <c r="H58" s="42">
        <f t="shared" si="1"/>
        <v>50</v>
      </c>
      <c r="I58" s="41"/>
      <c r="J58" s="41"/>
      <c r="K58" s="41">
        <f>SUM(Result2!$I58:$J58)</f>
        <v>0</v>
      </c>
      <c r="L58" s="41"/>
      <c r="M58" s="41">
        <f>SUM(Result2!$K58:$L58)</f>
        <v>0</v>
      </c>
      <c r="N58" s="47" t="str">
        <f>IF(Result2!$H58&gt;40,"ON LEVEL", IF(Result2!$H58&gt;30,"APPROACH", "BELOW LEVEL"))</f>
        <v>ON LEVEL</v>
      </c>
      <c r="O58" s="47" t="str">
        <f>IF(Result2!$M58&gt;40,"ONLEVEL", IF(Result2!$M58&gt;20,"APPROACH", "BELOW LEVEL"))</f>
        <v>BELOW LEVEL</v>
      </c>
    </row>
    <row r="59" spans="1:15" ht="15.75" customHeight="1" x14ac:dyDescent="0.45">
      <c r="A59" s="48">
        <v>57</v>
      </c>
      <c r="B59" s="49" t="s">
        <v>96</v>
      </c>
      <c r="C59" s="50" t="s">
        <v>82</v>
      </c>
      <c r="D59" s="40">
        <v>10</v>
      </c>
      <c r="E59" s="7">
        <v>10</v>
      </c>
      <c r="F59" s="7">
        <f t="shared" si="0"/>
        <v>20</v>
      </c>
      <c r="G59" s="7">
        <v>30</v>
      </c>
      <c r="H59" s="42">
        <f t="shared" si="1"/>
        <v>50</v>
      </c>
      <c r="I59" s="41"/>
      <c r="J59" s="41"/>
      <c r="K59" s="41">
        <f>SUM(Result2!$I59:$J59)</f>
        <v>0</v>
      </c>
      <c r="L59" s="41"/>
      <c r="M59" s="41">
        <f>SUM(Result2!$K59:$L59)</f>
        <v>0</v>
      </c>
      <c r="N59" s="47" t="str">
        <f>IF(Result2!$H59&gt;40,"ON LEVEL", IF(Result2!$H59&gt;30,"APPROACH", "BELOW LEVEL"))</f>
        <v>ON LEVEL</v>
      </c>
      <c r="O59" s="47" t="str">
        <f>IF(Result2!$M59&gt;40,"ONLEVEL", IF(Result2!$M59&gt;20,"APPROACH", "BELOW LEVEL"))</f>
        <v>BELOW LEVEL</v>
      </c>
    </row>
    <row r="60" spans="1:15" ht="15.75" customHeight="1" x14ac:dyDescent="0.45">
      <c r="A60" s="48">
        <v>58</v>
      </c>
      <c r="B60" s="49" t="s">
        <v>97</v>
      </c>
      <c r="C60" s="50" t="s">
        <v>82</v>
      </c>
      <c r="D60" s="40">
        <v>10</v>
      </c>
      <c r="E60" s="7">
        <v>10</v>
      </c>
      <c r="F60" s="7">
        <f t="shared" si="0"/>
        <v>20</v>
      </c>
      <c r="G60" s="99">
        <v>27.5</v>
      </c>
      <c r="H60" s="42">
        <f t="shared" si="1"/>
        <v>47.5</v>
      </c>
      <c r="I60" s="41"/>
      <c r="J60" s="41"/>
      <c r="K60" s="41">
        <f>SUM(Result2!$I60:$J60)</f>
        <v>0</v>
      </c>
      <c r="L60" s="41"/>
      <c r="M60" s="41">
        <f>SUM(Result2!$K60:$L60)</f>
        <v>0</v>
      </c>
      <c r="N60" s="47" t="str">
        <f>IF(Result2!$H60&gt;40,"ON LEVEL", IF(Result2!$H60&gt;30,"APPROACH", "BELOW LEVEL"))</f>
        <v>ON LEVEL</v>
      </c>
      <c r="O60" s="47" t="str">
        <f>IF(Result2!$M60&gt;40,"ONLEVEL", IF(Result2!$M60&gt;20,"APPROACH", "BELOW LEVEL"))</f>
        <v>BELOW LEVEL</v>
      </c>
    </row>
    <row r="61" spans="1:15" ht="15.75" customHeight="1" x14ac:dyDescent="0.45">
      <c r="A61" s="48">
        <v>59</v>
      </c>
      <c r="B61" s="49" t="s">
        <v>98</v>
      </c>
      <c r="C61" s="50" t="s">
        <v>82</v>
      </c>
      <c r="D61" s="40">
        <v>8</v>
      </c>
      <c r="E61" s="7">
        <v>5</v>
      </c>
      <c r="F61" s="7">
        <f t="shared" si="0"/>
        <v>13</v>
      </c>
      <c r="G61" s="7">
        <v>25</v>
      </c>
      <c r="H61" s="42">
        <f t="shared" si="1"/>
        <v>38</v>
      </c>
      <c r="I61" s="41"/>
      <c r="J61" s="41"/>
      <c r="K61" s="41">
        <f>SUM(Result2!$I61:$J61)</f>
        <v>0</v>
      </c>
      <c r="L61" s="41"/>
      <c r="M61" s="41">
        <f>SUM(Result2!$K61:$L61)</f>
        <v>0</v>
      </c>
      <c r="N61" s="47" t="str">
        <f>IF(Result2!$H61&gt;40,"ON LEVEL", IF(Result2!$H61&gt;30,"APPROACH", "BELOW LEVEL"))</f>
        <v>APPROACH</v>
      </c>
      <c r="O61" s="47" t="str">
        <f>IF(Result2!$M61&gt;40,"ONLEVEL", IF(Result2!$M61&gt;20,"APPROACH", "BELOW LEVEL"))</f>
        <v>BELOW LEVEL</v>
      </c>
    </row>
    <row r="62" spans="1:15" ht="15.75" customHeight="1" x14ac:dyDescent="0.45">
      <c r="A62" s="48">
        <v>67</v>
      </c>
      <c r="B62" s="49" t="s">
        <v>107</v>
      </c>
      <c r="C62" s="50" t="s">
        <v>82</v>
      </c>
      <c r="D62" s="40">
        <v>9.5</v>
      </c>
      <c r="E62" s="7">
        <v>10</v>
      </c>
      <c r="F62" s="7">
        <f t="shared" si="0"/>
        <v>19.5</v>
      </c>
      <c r="G62" s="7">
        <v>28</v>
      </c>
      <c r="H62" s="42">
        <f t="shared" si="1"/>
        <v>47.5</v>
      </c>
      <c r="I62" s="41"/>
      <c r="J62" s="41"/>
      <c r="K62" s="41">
        <f>SUM(Result2!$I62:$J62)</f>
        <v>0</v>
      </c>
      <c r="L62" s="41"/>
      <c r="M62" s="41">
        <f>SUM(Result2!$K62:$L62)</f>
        <v>0</v>
      </c>
      <c r="N62" s="47" t="str">
        <f>IF(Result2!$H62&gt;40,"ON LEVEL", IF(Result2!$H62&gt;30,"APPROACH", "BELOW LEVEL"))</f>
        <v>ON LEVEL</v>
      </c>
      <c r="O62" s="47" t="str">
        <f>IF(Result2!$M62&gt;40,"ONLEVEL", IF(Result2!$M62&gt;20,"APPROACH", "BELOW LEVEL"))</f>
        <v>BELOW LEVEL</v>
      </c>
    </row>
    <row r="63" spans="1:15" ht="15.75" customHeight="1" x14ac:dyDescent="0.45">
      <c r="A63" s="48">
        <v>60</v>
      </c>
      <c r="B63" s="49" t="s">
        <v>99</v>
      </c>
      <c r="C63" s="50" t="s">
        <v>100</v>
      </c>
      <c r="D63" s="40">
        <v>10</v>
      </c>
      <c r="E63" s="7">
        <v>10</v>
      </c>
      <c r="F63" s="7">
        <f t="shared" si="0"/>
        <v>20</v>
      </c>
      <c r="G63" s="99">
        <v>28.5</v>
      </c>
      <c r="H63" s="42">
        <f t="shared" si="1"/>
        <v>48.5</v>
      </c>
      <c r="I63" s="41"/>
      <c r="J63" s="41"/>
      <c r="K63" s="41">
        <f>SUM(Result2!$I63:$J63)</f>
        <v>0</v>
      </c>
      <c r="L63" s="41"/>
      <c r="M63" s="41">
        <f>SUM(Result2!$K63:$L63)</f>
        <v>0</v>
      </c>
      <c r="N63" s="47" t="str">
        <f>IF(Result2!$H63&gt;40,"ON LEVEL", IF(Result2!$H63&gt;30,"APPROACH", "BELOW LEVEL"))</f>
        <v>ON LEVEL</v>
      </c>
      <c r="O63" s="47" t="str">
        <f>IF(Result2!$M63&gt;40,"ONLEVEL", IF(Result2!$M63&gt;20,"APPROACH", "BELOW LEVEL"))</f>
        <v>BELOW LEVEL</v>
      </c>
    </row>
    <row r="64" spans="1:15" ht="15.75" customHeight="1" x14ac:dyDescent="0.45">
      <c r="A64" s="48">
        <v>61</v>
      </c>
      <c r="B64" s="49" t="s">
        <v>101</v>
      </c>
      <c r="C64" s="50" t="s">
        <v>100</v>
      </c>
      <c r="D64" s="40">
        <v>10</v>
      </c>
      <c r="E64" s="7">
        <v>10</v>
      </c>
      <c r="F64" s="7">
        <f t="shared" si="0"/>
        <v>20</v>
      </c>
      <c r="G64" s="99">
        <v>29.5</v>
      </c>
      <c r="H64" s="42">
        <f t="shared" si="1"/>
        <v>49.5</v>
      </c>
      <c r="I64" s="41"/>
      <c r="J64" s="41"/>
      <c r="K64" s="41">
        <f>SUM(Result2!$I64:$J64)</f>
        <v>0</v>
      </c>
      <c r="L64" s="41"/>
      <c r="M64" s="41">
        <f>SUM(Result2!$K64:$L64)</f>
        <v>0</v>
      </c>
      <c r="N64" s="47" t="str">
        <f>IF(Result2!$H64&gt;40,"ON LEVEL", IF(Result2!$H64&gt;30,"APPROACH", "BELOW LEVEL"))</f>
        <v>ON LEVEL</v>
      </c>
      <c r="O64" s="47" t="str">
        <f>IF(Result2!$M64&gt;40,"ONLEVEL", IF(Result2!$M64&gt;20,"APPROACH", "BELOW LEVEL"))</f>
        <v>BELOW LEVEL</v>
      </c>
    </row>
    <row r="65" spans="1:15" ht="15.75" customHeight="1" x14ac:dyDescent="0.45">
      <c r="A65" s="48">
        <v>62</v>
      </c>
      <c r="B65" s="49" t="s">
        <v>102</v>
      </c>
      <c r="C65" s="50" t="s">
        <v>100</v>
      </c>
      <c r="D65" s="40">
        <v>10</v>
      </c>
      <c r="E65" s="7">
        <v>10</v>
      </c>
      <c r="F65" s="7">
        <f t="shared" si="0"/>
        <v>20</v>
      </c>
      <c r="G65" s="99">
        <v>29.5</v>
      </c>
      <c r="H65" s="42">
        <f t="shared" si="1"/>
        <v>49.5</v>
      </c>
      <c r="I65" s="41"/>
      <c r="J65" s="41"/>
      <c r="K65" s="41">
        <f>SUM(Result2!$I65:$J65)</f>
        <v>0</v>
      </c>
      <c r="L65" s="41"/>
      <c r="M65" s="41">
        <f>SUM(Result2!$K65:$L65)</f>
        <v>0</v>
      </c>
      <c r="N65" s="47" t="str">
        <f>IF(Result2!$H65&gt;40,"ON LEVEL", IF(Result2!$H65&gt;30,"APPROACH", "BELOW LEVEL"))</f>
        <v>ON LEVEL</v>
      </c>
      <c r="O65" s="47" t="str">
        <f>IF(Result2!$M65&gt;40,"ONLEVEL", IF(Result2!$M65&gt;20,"APPROACH", "BELOW LEVEL"))</f>
        <v>BELOW LEVEL</v>
      </c>
    </row>
    <row r="66" spans="1:15" ht="15.75" customHeight="1" x14ac:dyDescent="0.45">
      <c r="A66" s="48">
        <v>63</v>
      </c>
      <c r="B66" s="49" t="s">
        <v>103</v>
      </c>
      <c r="C66" s="50" t="s">
        <v>100</v>
      </c>
      <c r="D66" s="40">
        <v>10</v>
      </c>
      <c r="E66" s="7">
        <v>10</v>
      </c>
      <c r="F66" s="7">
        <f t="shared" si="0"/>
        <v>20</v>
      </c>
      <c r="G66" s="7">
        <v>29</v>
      </c>
      <c r="H66" s="42">
        <f t="shared" si="1"/>
        <v>49</v>
      </c>
      <c r="I66" s="41"/>
      <c r="J66" s="41"/>
      <c r="K66" s="41">
        <f>SUM(Result2!$I66:$J66)</f>
        <v>0</v>
      </c>
      <c r="L66" s="41"/>
      <c r="M66" s="41">
        <f>SUM(Result2!$K66:$L66)</f>
        <v>0</v>
      </c>
      <c r="N66" s="47" t="str">
        <f>IF(Result2!$H66&gt;40,"ON LEVEL", IF(Result2!$H66&gt;30,"APPROACH", "BELOW LEVEL"))</f>
        <v>ON LEVEL</v>
      </c>
      <c r="O66" s="47" t="str">
        <f>IF(Result2!$M66&gt;40,"ONLEVEL", IF(Result2!$M66&gt;20,"APPROACH", "BELOW LEVEL"))</f>
        <v>BELOW LEVEL</v>
      </c>
    </row>
    <row r="67" spans="1:15" ht="15.75" customHeight="1" x14ac:dyDescent="0.45">
      <c r="A67" s="48">
        <v>64</v>
      </c>
      <c r="B67" s="49" t="s">
        <v>104</v>
      </c>
      <c r="C67" s="50" t="s">
        <v>100</v>
      </c>
      <c r="D67" s="40">
        <v>9.5</v>
      </c>
      <c r="E67" s="7">
        <v>10</v>
      </c>
      <c r="F67" s="7">
        <f t="shared" si="0"/>
        <v>19.5</v>
      </c>
      <c r="G67" s="99">
        <v>27.5</v>
      </c>
      <c r="H67" s="42">
        <f t="shared" si="1"/>
        <v>47</v>
      </c>
      <c r="I67" s="41"/>
      <c r="J67" s="41"/>
      <c r="K67" s="41">
        <f>SUM(Result2!$I67:$J67)</f>
        <v>0</v>
      </c>
      <c r="L67" s="41"/>
      <c r="M67" s="41">
        <f>SUM(Result2!$K67:$L67)</f>
        <v>0</v>
      </c>
      <c r="N67" s="47" t="str">
        <f>IF(Result2!$H67&gt;40,"ON LEVEL", IF(Result2!$H67&gt;30,"APPROACH", "BELOW LEVEL"))</f>
        <v>ON LEVEL</v>
      </c>
      <c r="O67" s="47" t="str">
        <f>IF(Result2!$M67&gt;40,"ONLEVEL", IF(Result2!$M67&gt;20,"APPROACH", "BELOW LEVEL"))</f>
        <v>BELOW LEVEL</v>
      </c>
    </row>
    <row r="68" spans="1:15" ht="15.75" customHeight="1" x14ac:dyDescent="0.45">
      <c r="A68" s="48">
        <v>65</v>
      </c>
      <c r="B68" s="49" t="s">
        <v>105</v>
      </c>
      <c r="C68" s="50" t="s">
        <v>100</v>
      </c>
      <c r="D68" s="40">
        <v>9.5</v>
      </c>
      <c r="E68" s="7">
        <v>10</v>
      </c>
      <c r="F68" s="7">
        <f t="shared" ref="F68:F110" si="2">SUM(D68:E68)</f>
        <v>19.5</v>
      </c>
      <c r="G68" s="7">
        <v>26</v>
      </c>
      <c r="H68" s="42">
        <f t="shared" ref="H68:H110" si="3">SUM(F68:G68)</f>
        <v>45.5</v>
      </c>
      <c r="I68" s="41"/>
      <c r="J68" s="41"/>
      <c r="K68" s="41">
        <f>SUM(Result2!$I68:$J68)</f>
        <v>0</v>
      </c>
      <c r="L68" s="41"/>
      <c r="M68" s="41">
        <f>SUM(Result2!$K68:$L68)</f>
        <v>0</v>
      </c>
      <c r="N68" s="47" t="str">
        <f>IF(Result2!$H68&gt;40,"ON LEVEL", IF(Result2!$H68&gt;30,"APPROACH", "BELOW LEVEL"))</f>
        <v>ON LEVEL</v>
      </c>
      <c r="O68" s="47" t="str">
        <f>IF(Result2!$M68&gt;40,"ONLEVEL", IF(Result2!$M68&gt;20,"APPROACH", "BELOW LEVEL"))</f>
        <v>BELOW LEVEL</v>
      </c>
    </row>
    <row r="69" spans="1:15" ht="15.75" customHeight="1" x14ac:dyDescent="0.45">
      <c r="A69" s="48">
        <v>66</v>
      </c>
      <c r="B69" s="49" t="s">
        <v>106</v>
      </c>
      <c r="C69" s="50" t="s">
        <v>100</v>
      </c>
      <c r="D69" s="40">
        <v>10</v>
      </c>
      <c r="E69" s="7">
        <v>10</v>
      </c>
      <c r="F69" s="7">
        <f t="shared" si="2"/>
        <v>20</v>
      </c>
      <c r="G69" s="99">
        <v>29.5</v>
      </c>
      <c r="H69" s="42">
        <f t="shared" si="3"/>
        <v>49.5</v>
      </c>
      <c r="I69" s="41"/>
      <c r="J69" s="41"/>
      <c r="K69" s="41">
        <f>SUM(Result2!$I69:$J69)</f>
        <v>0</v>
      </c>
      <c r="L69" s="41"/>
      <c r="M69" s="41">
        <f>SUM(Result2!$K69:$L69)</f>
        <v>0</v>
      </c>
      <c r="N69" s="47" t="str">
        <f>IF(Result2!$H69&gt;40,"ON LEVEL", IF(Result2!$H69&gt;30,"APPROACH", "BELOW LEVEL"))</f>
        <v>ON LEVEL</v>
      </c>
      <c r="O69" s="47" t="str">
        <f>IF(Result2!$M69&gt;40,"ONLEVEL", IF(Result2!$M69&gt;20,"APPROACH", "BELOW LEVEL"))</f>
        <v>BELOW LEVEL</v>
      </c>
    </row>
    <row r="70" spans="1:15" ht="15.75" customHeight="1" x14ac:dyDescent="0.45">
      <c r="A70" s="48">
        <v>68</v>
      </c>
      <c r="B70" s="49" t="s">
        <v>108</v>
      </c>
      <c r="C70" s="50" t="s">
        <v>100</v>
      </c>
      <c r="D70" s="40">
        <v>10</v>
      </c>
      <c r="E70" s="7">
        <v>10</v>
      </c>
      <c r="F70" s="7">
        <f t="shared" si="2"/>
        <v>20</v>
      </c>
      <c r="G70" s="99">
        <v>29.5</v>
      </c>
      <c r="H70" s="42">
        <f t="shared" si="3"/>
        <v>49.5</v>
      </c>
      <c r="I70" s="41"/>
      <c r="J70" s="41"/>
      <c r="K70" s="41">
        <f>SUM(Result2!$I70:$J70)</f>
        <v>0</v>
      </c>
      <c r="L70" s="41"/>
      <c r="M70" s="41">
        <f>SUM(Result2!$K70:$L70)</f>
        <v>0</v>
      </c>
      <c r="N70" s="47" t="str">
        <f>IF(Result2!$H70&gt;40,"ON LEVEL", IF(Result2!$H70&gt;30,"APPROACH", "BELOW LEVEL"))</f>
        <v>ON LEVEL</v>
      </c>
      <c r="O70" s="47" t="str">
        <f>IF(Result2!$M70&gt;40,"ONLEVEL", IF(Result2!$M70&gt;20,"APPROACH", "BELOW LEVEL"))</f>
        <v>BELOW LEVEL</v>
      </c>
    </row>
    <row r="71" spans="1:15" ht="15.75" customHeight="1" x14ac:dyDescent="0.45">
      <c r="A71" s="48">
        <v>69</v>
      </c>
      <c r="B71" s="49" t="s">
        <v>109</v>
      </c>
      <c r="C71" s="50" t="s">
        <v>100</v>
      </c>
      <c r="D71" s="40">
        <v>9.5</v>
      </c>
      <c r="E71" s="7">
        <v>10</v>
      </c>
      <c r="F71" s="7">
        <f t="shared" si="2"/>
        <v>19.5</v>
      </c>
      <c r="G71" s="99">
        <v>27.5</v>
      </c>
      <c r="H71" s="42">
        <f t="shared" si="3"/>
        <v>47</v>
      </c>
      <c r="I71" s="41"/>
      <c r="J71" s="41"/>
      <c r="K71" s="41">
        <f>SUM(Result2!$I71:$J71)</f>
        <v>0</v>
      </c>
      <c r="L71" s="41"/>
      <c r="M71" s="41">
        <f>SUM(Result2!$K71:$L71)</f>
        <v>0</v>
      </c>
      <c r="N71" s="47" t="str">
        <f>IF(Result2!$H71&gt;40,"ON LEVEL", IF(Result2!$H71&gt;30,"APPROACH", "BELOW LEVEL"))</f>
        <v>ON LEVEL</v>
      </c>
      <c r="O71" s="47" t="str">
        <f>IF(Result2!$M71&gt;40,"ONLEVEL", IF(Result2!$M71&gt;20,"APPROACH", "BELOW LEVEL"))</f>
        <v>BELOW LEVEL</v>
      </c>
    </row>
    <row r="72" spans="1:15" ht="15.75" customHeight="1" x14ac:dyDescent="0.45">
      <c r="A72" s="48">
        <v>70</v>
      </c>
      <c r="B72" s="49" t="s">
        <v>110</v>
      </c>
      <c r="C72" s="50" t="s">
        <v>100</v>
      </c>
      <c r="D72" s="40">
        <v>10</v>
      </c>
      <c r="E72" s="7">
        <v>10</v>
      </c>
      <c r="F72" s="7">
        <f t="shared" si="2"/>
        <v>20</v>
      </c>
      <c r="G72" s="99">
        <v>28.5</v>
      </c>
      <c r="H72" s="42">
        <f t="shared" si="3"/>
        <v>48.5</v>
      </c>
      <c r="I72" s="41"/>
      <c r="J72" s="41"/>
      <c r="K72" s="41">
        <f>SUM(Result2!$I72:$J72)</f>
        <v>0</v>
      </c>
      <c r="L72" s="41"/>
      <c r="M72" s="41">
        <f>SUM(Result2!$K72:$L72)</f>
        <v>0</v>
      </c>
      <c r="N72" s="47" t="str">
        <f>IF(Result2!$H72&gt;40,"ON LEVEL", IF(Result2!$H72&gt;30,"APPROACH", "BELOW LEVEL"))</f>
        <v>ON LEVEL</v>
      </c>
      <c r="O72" s="47" t="str">
        <f>IF(Result2!$M72&gt;40,"ONLEVEL", IF(Result2!$M72&gt;20,"APPROACH", "BELOW LEVEL"))</f>
        <v>BELOW LEVEL</v>
      </c>
    </row>
    <row r="73" spans="1:15" ht="15.75" customHeight="1" x14ac:dyDescent="0.45">
      <c r="A73" s="48">
        <v>71</v>
      </c>
      <c r="B73" s="49" t="s">
        <v>111</v>
      </c>
      <c r="C73" s="50" t="s">
        <v>112</v>
      </c>
      <c r="D73" s="40">
        <v>5</v>
      </c>
      <c r="E73" s="7">
        <v>5</v>
      </c>
      <c r="F73" s="7">
        <f t="shared" si="2"/>
        <v>10</v>
      </c>
      <c r="G73" s="7">
        <v>26</v>
      </c>
      <c r="H73" s="42">
        <f t="shared" si="3"/>
        <v>36</v>
      </c>
      <c r="I73" s="41"/>
      <c r="J73" s="41"/>
      <c r="K73" s="41">
        <f>SUM(Result2!$I73:$J73)</f>
        <v>0</v>
      </c>
      <c r="L73" s="41"/>
      <c r="M73" s="41">
        <f>SUM(Result2!$K73:$L73)</f>
        <v>0</v>
      </c>
      <c r="N73" s="47" t="str">
        <f>IF(Result2!$H73&gt;40,"ON LEVEL", IF(Result2!$H73&gt;30,"APPROACH", "BELOW LEVEL"))</f>
        <v>APPROACH</v>
      </c>
      <c r="O73" s="47" t="str">
        <f>IF(Result2!$M73&gt;40,"ONLEVEL", IF(Result2!$M73&gt;20,"APPROACH", "BELOW LEVEL"))</f>
        <v>BELOW LEVEL</v>
      </c>
    </row>
    <row r="74" spans="1:15" ht="15.75" customHeight="1" x14ac:dyDescent="0.45">
      <c r="A74" s="48">
        <v>72</v>
      </c>
      <c r="B74" s="49" t="s">
        <v>113</v>
      </c>
      <c r="C74" s="50" t="s">
        <v>112</v>
      </c>
      <c r="D74" s="40">
        <v>10</v>
      </c>
      <c r="E74" s="7">
        <v>10</v>
      </c>
      <c r="F74" s="7">
        <f t="shared" si="2"/>
        <v>20</v>
      </c>
      <c r="G74" s="7">
        <v>30</v>
      </c>
      <c r="H74" s="42">
        <f t="shared" si="3"/>
        <v>50</v>
      </c>
      <c r="I74" s="41"/>
      <c r="J74" s="41"/>
      <c r="K74" s="41">
        <f>SUM(Result2!$I74:$J74)</f>
        <v>0</v>
      </c>
      <c r="L74" s="41"/>
      <c r="M74" s="41">
        <f>SUM(Result2!$K74:$L74)</f>
        <v>0</v>
      </c>
      <c r="N74" s="47" t="str">
        <f>IF(Result2!$H74&gt;40,"ON LEVEL", IF(Result2!$H74&gt;30,"APPROACH", "BELOW LEVEL"))</f>
        <v>ON LEVEL</v>
      </c>
      <c r="O74" s="47" t="str">
        <f>IF(Result2!$M74&gt;40,"ONLEVEL", IF(Result2!$M74&gt;20,"APPROACH", "BELOW LEVEL"))</f>
        <v>BELOW LEVEL</v>
      </c>
    </row>
    <row r="75" spans="1:15" ht="15.75" customHeight="1" x14ac:dyDescent="0.45">
      <c r="A75" s="48">
        <v>73</v>
      </c>
      <c r="B75" s="49" t="s">
        <v>114</v>
      </c>
      <c r="C75" s="50" t="s">
        <v>112</v>
      </c>
      <c r="D75" s="40">
        <v>10</v>
      </c>
      <c r="E75" s="7">
        <v>10</v>
      </c>
      <c r="F75" s="7">
        <f t="shared" si="2"/>
        <v>20</v>
      </c>
      <c r="G75" s="7">
        <v>28</v>
      </c>
      <c r="H75" s="42">
        <f t="shared" si="3"/>
        <v>48</v>
      </c>
      <c r="I75" s="41"/>
      <c r="J75" s="41"/>
      <c r="K75" s="41">
        <f>SUM(Result2!$I75:$J75)</f>
        <v>0</v>
      </c>
      <c r="L75" s="41"/>
      <c r="M75" s="41">
        <f>SUM(Result2!$K75:$L75)</f>
        <v>0</v>
      </c>
      <c r="N75" s="47" t="str">
        <f>IF(Result2!$H75&gt;40,"ON LEVEL", IF(Result2!$H75&gt;30,"APPROACH", "BELOW LEVEL"))</f>
        <v>ON LEVEL</v>
      </c>
      <c r="O75" s="47" t="str">
        <f>IF(Result2!$M75&gt;40,"ONLEVEL", IF(Result2!$M75&gt;20,"APPROACH", "BELOW LEVEL"))</f>
        <v>BELOW LEVEL</v>
      </c>
    </row>
    <row r="76" spans="1:15" ht="15.75" customHeight="1" x14ac:dyDescent="0.45">
      <c r="A76" s="48">
        <v>74</v>
      </c>
      <c r="B76" s="49" t="s">
        <v>115</v>
      </c>
      <c r="C76" s="50" t="s">
        <v>112</v>
      </c>
      <c r="D76" s="40">
        <v>10</v>
      </c>
      <c r="E76" s="7">
        <v>10</v>
      </c>
      <c r="F76" s="7">
        <f t="shared" si="2"/>
        <v>20</v>
      </c>
      <c r="G76" s="99">
        <v>28.5</v>
      </c>
      <c r="H76" s="42">
        <f t="shared" si="3"/>
        <v>48.5</v>
      </c>
      <c r="I76" s="41"/>
      <c r="J76" s="41"/>
      <c r="K76" s="41">
        <f>SUM(Result2!$I76:$J76)</f>
        <v>0</v>
      </c>
      <c r="L76" s="41"/>
      <c r="M76" s="41">
        <f>SUM(Result2!$K76:$L76)</f>
        <v>0</v>
      </c>
      <c r="N76" s="47" t="str">
        <f>IF(Result2!$H76&gt;40,"ON LEVEL", IF(Result2!$H76&gt;30,"APPROACH", "BELOW LEVEL"))</f>
        <v>ON LEVEL</v>
      </c>
      <c r="O76" s="47" t="str">
        <f>IF(Result2!$M76&gt;40,"ONLEVEL", IF(Result2!$M76&gt;20,"APPROACH", "BELOW LEVEL"))</f>
        <v>BELOW LEVEL</v>
      </c>
    </row>
    <row r="77" spans="1:15" ht="15.75" customHeight="1" x14ac:dyDescent="0.45">
      <c r="A77" s="48">
        <v>75</v>
      </c>
      <c r="B77" s="49" t="s">
        <v>116</v>
      </c>
      <c r="C77" s="50" t="s">
        <v>112</v>
      </c>
      <c r="D77" s="40">
        <v>10</v>
      </c>
      <c r="E77" s="7">
        <v>10</v>
      </c>
      <c r="F77" s="7">
        <f t="shared" si="2"/>
        <v>20</v>
      </c>
      <c r="G77" s="7">
        <v>27</v>
      </c>
      <c r="H77" s="42">
        <f t="shared" si="3"/>
        <v>47</v>
      </c>
      <c r="I77" s="41"/>
      <c r="J77" s="41"/>
      <c r="K77" s="41">
        <f>SUM(Result2!$I77:$J77)</f>
        <v>0</v>
      </c>
      <c r="L77" s="41"/>
      <c r="M77" s="41">
        <f>SUM(Result2!$K77:$L77)</f>
        <v>0</v>
      </c>
      <c r="N77" s="47" t="str">
        <f>IF(Result2!$H77&gt;40,"ON LEVEL", IF(Result2!$H77&gt;30,"APPROACH", "BELOW LEVEL"))</f>
        <v>ON LEVEL</v>
      </c>
      <c r="O77" s="47" t="str">
        <f>IF(Result2!$M77&gt;40,"ONLEVEL", IF(Result2!$M77&gt;20,"APPROACH", "BELOW LEVEL"))</f>
        <v>BELOW LEVEL</v>
      </c>
    </row>
    <row r="78" spans="1:15" ht="15.75" customHeight="1" x14ac:dyDescent="0.45">
      <c r="A78" s="48">
        <v>76</v>
      </c>
      <c r="B78" s="49" t="s">
        <v>117</v>
      </c>
      <c r="C78" s="50" t="s">
        <v>112</v>
      </c>
      <c r="D78" s="40">
        <v>9.5</v>
      </c>
      <c r="E78" s="7">
        <v>10</v>
      </c>
      <c r="F78" s="7">
        <f t="shared" si="2"/>
        <v>19.5</v>
      </c>
      <c r="G78" s="99">
        <v>26.5</v>
      </c>
      <c r="H78" s="42">
        <f t="shared" si="3"/>
        <v>46</v>
      </c>
      <c r="I78" s="41"/>
      <c r="J78" s="41"/>
      <c r="K78" s="41">
        <f>SUM(Result2!$I78:$J78)</f>
        <v>0</v>
      </c>
      <c r="L78" s="41"/>
      <c r="M78" s="41">
        <f>SUM(Result2!$K78:$L78)</f>
        <v>0</v>
      </c>
      <c r="N78" s="47" t="str">
        <f>IF(Result2!$H78&gt;40,"ON LEVEL", IF(Result2!$H78&gt;30,"APPROACH", "BELOW LEVEL"))</f>
        <v>ON LEVEL</v>
      </c>
      <c r="O78" s="47" t="str">
        <f>IF(Result2!$M78&gt;40,"ONLEVEL", IF(Result2!$M78&gt;20,"APPROACH", "BELOW LEVEL"))</f>
        <v>BELOW LEVEL</v>
      </c>
    </row>
    <row r="79" spans="1:15" ht="15.75" customHeight="1" x14ac:dyDescent="0.45">
      <c r="A79" s="48">
        <v>77</v>
      </c>
      <c r="B79" s="49" t="s">
        <v>118</v>
      </c>
      <c r="C79" s="50" t="s">
        <v>112</v>
      </c>
      <c r="D79" s="40">
        <v>8.5</v>
      </c>
      <c r="E79" s="7">
        <v>10</v>
      </c>
      <c r="F79" s="7">
        <f t="shared" si="2"/>
        <v>18.5</v>
      </c>
      <c r="G79" s="7">
        <v>25</v>
      </c>
      <c r="H79" s="42">
        <f t="shared" si="3"/>
        <v>43.5</v>
      </c>
      <c r="I79" s="41"/>
      <c r="J79" s="41"/>
      <c r="K79" s="41">
        <f>SUM(Result2!$I79:$J79)</f>
        <v>0</v>
      </c>
      <c r="L79" s="41"/>
      <c r="M79" s="41">
        <f>SUM(Result2!$K79:$L79)</f>
        <v>0</v>
      </c>
      <c r="N79" s="47" t="str">
        <f>IF(Result2!$H79&gt;40,"ON LEVEL", IF(Result2!$H79&gt;30,"APPROACH", "BELOW LEVEL"))</f>
        <v>ON LEVEL</v>
      </c>
      <c r="O79" s="47" t="str">
        <f>IF(Result2!$M79&gt;40,"ONLEVEL", IF(Result2!$M79&gt;20,"APPROACH", "BELOW LEVEL"))</f>
        <v>BELOW LEVEL</v>
      </c>
    </row>
    <row r="80" spans="1:15" ht="15.75" customHeight="1" x14ac:dyDescent="0.45">
      <c r="A80" s="48">
        <v>78</v>
      </c>
      <c r="B80" s="49" t="s">
        <v>119</v>
      </c>
      <c r="C80" s="50" t="s">
        <v>112</v>
      </c>
      <c r="D80" s="40">
        <v>7.5</v>
      </c>
      <c r="E80" s="7">
        <v>10</v>
      </c>
      <c r="F80" s="7">
        <f t="shared" si="2"/>
        <v>17.5</v>
      </c>
      <c r="G80" s="7">
        <v>24</v>
      </c>
      <c r="H80" s="42">
        <f t="shared" si="3"/>
        <v>41.5</v>
      </c>
      <c r="I80" s="41"/>
      <c r="J80" s="41"/>
      <c r="K80" s="41">
        <f>SUM(Result2!$I80:$J80)</f>
        <v>0</v>
      </c>
      <c r="L80" s="41"/>
      <c r="M80" s="41">
        <f>SUM(Result2!$K80:$L80)</f>
        <v>0</v>
      </c>
      <c r="N80" s="47" t="str">
        <f>IF(Result2!$H80&gt;40,"ON LEVEL", IF(Result2!$H80&gt;30,"APPROACH", "BELOW LEVEL"))</f>
        <v>ON LEVEL</v>
      </c>
      <c r="O80" s="47" t="str">
        <f>IF(Result2!$M80&gt;40,"ONLEVEL", IF(Result2!$M80&gt;20,"APPROACH", "BELOW LEVEL"))</f>
        <v>BELOW LEVEL</v>
      </c>
    </row>
    <row r="81" spans="1:15" ht="15.75" customHeight="1" x14ac:dyDescent="0.45">
      <c r="A81" s="48">
        <v>79</v>
      </c>
      <c r="B81" s="49" t="s">
        <v>120</v>
      </c>
      <c r="C81" s="50" t="s">
        <v>112</v>
      </c>
      <c r="D81" s="40">
        <v>9</v>
      </c>
      <c r="E81" s="7">
        <v>10</v>
      </c>
      <c r="F81" s="7">
        <f t="shared" si="2"/>
        <v>19</v>
      </c>
      <c r="G81" s="7">
        <v>29</v>
      </c>
      <c r="H81" s="42">
        <f t="shared" si="3"/>
        <v>48</v>
      </c>
      <c r="I81" s="41"/>
      <c r="J81" s="41"/>
      <c r="K81" s="41">
        <f>SUM(Result2!$I81:$J81)</f>
        <v>0</v>
      </c>
      <c r="L81" s="41"/>
      <c r="M81" s="41">
        <f>SUM(Result2!$K81:$L81)</f>
        <v>0</v>
      </c>
      <c r="N81" s="47" t="str">
        <f>IF(Result2!$H81&gt;40,"ON LEVEL", IF(Result2!$H81&gt;30,"APPROACH", "BELOW LEVEL"))</f>
        <v>ON LEVEL</v>
      </c>
      <c r="O81" s="47" t="str">
        <f>IF(Result2!$M81&gt;40,"ONLEVEL", IF(Result2!$M81&gt;20,"APPROACH", "BELOW LEVEL"))</f>
        <v>BELOW LEVEL</v>
      </c>
    </row>
    <row r="82" spans="1:15" ht="15.75" customHeight="1" x14ac:dyDescent="0.45">
      <c r="A82" s="48">
        <v>80</v>
      </c>
      <c r="B82" s="49" t="s">
        <v>121</v>
      </c>
      <c r="C82" s="50" t="s">
        <v>112</v>
      </c>
      <c r="D82" s="40">
        <v>9.5</v>
      </c>
      <c r="E82" s="7">
        <v>10</v>
      </c>
      <c r="F82" s="7">
        <f t="shared" si="2"/>
        <v>19.5</v>
      </c>
      <c r="G82" s="99">
        <v>29.5</v>
      </c>
      <c r="H82" s="42">
        <f t="shared" si="3"/>
        <v>49</v>
      </c>
      <c r="I82" s="41"/>
      <c r="J82" s="41"/>
      <c r="K82" s="41">
        <f>SUM(Result2!$I82:$J82)</f>
        <v>0</v>
      </c>
      <c r="L82" s="41"/>
      <c r="M82" s="41">
        <f>SUM(Result2!$K82:$L82)</f>
        <v>0</v>
      </c>
      <c r="N82" s="47" t="str">
        <f>IF(Result2!$H82&gt;40,"ON LEVEL", IF(Result2!$H82&gt;30,"APPROACH", "BELOW LEVEL"))</f>
        <v>ON LEVEL</v>
      </c>
      <c r="O82" s="47" t="str">
        <f>IF(Result2!$M82&gt;40,"ONLEVEL", IF(Result2!$M82&gt;20,"APPROACH", "BELOW LEVEL"))</f>
        <v>BELOW LEVEL</v>
      </c>
    </row>
    <row r="83" spans="1:15" ht="15.75" customHeight="1" x14ac:dyDescent="0.45">
      <c r="A83" s="48">
        <v>81</v>
      </c>
      <c r="B83" s="49" t="s">
        <v>122</v>
      </c>
      <c r="C83" s="50" t="s">
        <v>112</v>
      </c>
      <c r="D83" s="40">
        <v>7.5</v>
      </c>
      <c r="E83" s="7">
        <v>7</v>
      </c>
      <c r="F83" s="7">
        <f t="shared" si="2"/>
        <v>14.5</v>
      </c>
      <c r="G83" s="99">
        <v>20.5</v>
      </c>
      <c r="H83" s="42">
        <f t="shared" si="3"/>
        <v>35</v>
      </c>
      <c r="I83" s="41"/>
      <c r="J83" s="41"/>
      <c r="K83" s="41">
        <f>SUM(Result2!$I83:$J83)</f>
        <v>0</v>
      </c>
      <c r="L83" s="41"/>
      <c r="M83" s="41">
        <f>SUM(Result2!$K83:$L83)</f>
        <v>0</v>
      </c>
      <c r="N83" s="47" t="str">
        <f>IF(Result2!$H83&gt;40,"ON LEVEL", IF(Result2!$H83&gt;30,"APPROACH", "BELOW LEVEL"))</f>
        <v>APPROACH</v>
      </c>
      <c r="O83" s="47" t="str">
        <f>IF(Result2!$M83&gt;40,"ONLEVEL", IF(Result2!$M83&gt;20,"APPROACH", "BELOW LEVEL"))</f>
        <v>BELOW LEVEL</v>
      </c>
    </row>
    <row r="84" spans="1:15" ht="15.75" customHeight="1" x14ac:dyDescent="0.45">
      <c r="A84" s="48">
        <v>82</v>
      </c>
      <c r="B84" s="49" t="s">
        <v>123</v>
      </c>
      <c r="C84" s="50" t="s">
        <v>112</v>
      </c>
      <c r="D84" s="40">
        <v>7.5</v>
      </c>
      <c r="E84" s="7">
        <v>10</v>
      </c>
      <c r="F84" s="7">
        <f t="shared" si="2"/>
        <v>17.5</v>
      </c>
      <c r="G84" s="7">
        <v>22</v>
      </c>
      <c r="H84" s="42">
        <f t="shared" si="3"/>
        <v>39.5</v>
      </c>
      <c r="I84" s="41"/>
      <c r="J84" s="41"/>
      <c r="K84" s="41">
        <f>SUM(Result2!$I84:$J84)</f>
        <v>0</v>
      </c>
      <c r="L84" s="41"/>
      <c r="M84" s="41">
        <f>SUM(Result2!$K84:$L84)</f>
        <v>0</v>
      </c>
      <c r="N84" s="47" t="str">
        <f>IF(Result2!$H84&gt;40,"ON LEVEL", IF(Result2!$H84&gt;30,"APPROACH", "BELOW LEVEL"))</f>
        <v>APPROACH</v>
      </c>
      <c r="O84" s="47" t="str">
        <f>IF(Result2!$M84&gt;40,"ONLEVEL", IF(Result2!$M84&gt;20,"APPROACH", "BELOW LEVEL"))</f>
        <v>BELOW LEVEL</v>
      </c>
    </row>
    <row r="85" spans="1:15" ht="15.75" customHeight="1" x14ac:dyDescent="0.45">
      <c r="A85" s="48">
        <v>83</v>
      </c>
      <c r="B85" s="49" t="s">
        <v>124</v>
      </c>
      <c r="C85" s="50" t="s">
        <v>112</v>
      </c>
      <c r="D85" s="40">
        <v>10</v>
      </c>
      <c r="E85" s="7">
        <v>10</v>
      </c>
      <c r="F85" s="7">
        <f t="shared" si="2"/>
        <v>20</v>
      </c>
      <c r="G85" s="7">
        <v>27</v>
      </c>
      <c r="H85" s="42">
        <f t="shared" si="3"/>
        <v>47</v>
      </c>
      <c r="I85" s="41"/>
      <c r="J85" s="41"/>
      <c r="K85" s="41">
        <f>SUM(Result2!$I85:$J85)</f>
        <v>0</v>
      </c>
      <c r="L85" s="41"/>
      <c r="M85" s="41">
        <f>SUM(Result2!$K85:$L85)</f>
        <v>0</v>
      </c>
      <c r="N85" s="47" t="str">
        <f>IF(Result2!$H85&gt;40,"ON LEVEL", IF(Result2!$H85&gt;30,"APPROACH", "BELOW LEVEL"))</f>
        <v>ON LEVEL</v>
      </c>
      <c r="O85" s="47" t="str">
        <f>IF(Result2!$M85&gt;40,"ONLEVEL", IF(Result2!$M85&gt;20,"APPROACH", "BELOW LEVEL"))</f>
        <v>BELOW LEVEL</v>
      </c>
    </row>
    <row r="86" spans="1:15" ht="15.75" customHeight="1" x14ac:dyDescent="0.45">
      <c r="A86" s="48">
        <v>84</v>
      </c>
      <c r="B86" s="49" t="s">
        <v>125</v>
      </c>
      <c r="C86" s="50" t="s">
        <v>112</v>
      </c>
      <c r="D86" s="40">
        <v>10</v>
      </c>
      <c r="E86" s="7">
        <v>10</v>
      </c>
      <c r="F86" s="7">
        <f t="shared" si="2"/>
        <v>20</v>
      </c>
      <c r="G86" s="7">
        <v>30</v>
      </c>
      <c r="H86" s="42">
        <f t="shared" si="3"/>
        <v>50</v>
      </c>
      <c r="I86" s="41"/>
      <c r="J86" s="41"/>
      <c r="K86" s="41">
        <f>SUM(Result2!$I86:$J86)</f>
        <v>0</v>
      </c>
      <c r="L86" s="41"/>
      <c r="M86" s="41">
        <f>SUM(Result2!$K86:$L86)</f>
        <v>0</v>
      </c>
      <c r="N86" s="47" t="str">
        <f>IF(Result2!$H86&gt;40,"ON LEVEL", IF(Result2!$H86&gt;30,"APPROACH", "BELOW LEVEL"))</f>
        <v>ON LEVEL</v>
      </c>
      <c r="O86" s="47" t="str">
        <f>IF(Result2!$M86&gt;40,"ONLEVEL", IF(Result2!$M86&gt;20,"APPROACH", "BELOW LEVEL"))</f>
        <v>BELOW LEVEL</v>
      </c>
    </row>
    <row r="87" spans="1:15" ht="15.75" customHeight="1" x14ac:dyDescent="0.45">
      <c r="A87" s="48">
        <v>85</v>
      </c>
      <c r="B87" s="49" t="s">
        <v>126</v>
      </c>
      <c r="C87" s="50" t="s">
        <v>112</v>
      </c>
      <c r="D87" s="40">
        <v>10</v>
      </c>
      <c r="E87" s="7">
        <v>10</v>
      </c>
      <c r="F87" s="7">
        <f t="shared" si="2"/>
        <v>20</v>
      </c>
      <c r="G87" s="7">
        <v>30</v>
      </c>
      <c r="H87" s="42">
        <f t="shared" si="3"/>
        <v>50</v>
      </c>
      <c r="I87" s="41"/>
      <c r="J87" s="41"/>
      <c r="K87" s="41">
        <f>SUM(Result2!$I87:$J87)</f>
        <v>0</v>
      </c>
      <c r="L87" s="41"/>
      <c r="M87" s="41">
        <f>SUM(Result2!$K87:$L87)</f>
        <v>0</v>
      </c>
      <c r="N87" s="47" t="str">
        <f>IF(Result2!$H87&gt;40,"ON LEVEL", IF(Result2!$H87&gt;30,"APPROACH", "BELOW LEVEL"))</f>
        <v>ON LEVEL</v>
      </c>
      <c r="O87" s="47" t="str">
        <f>IF(Result2!$M87&gt;40,"ONLEVEL", IF(Result2!$M87&gt;20,"APPROACH", "BELOW LEVEL"))</f>
        <v>BELOW LEVEL</v>
      </c>
    </row>
    <row r="88" spans="1:15" ht="15.75" customHeight="1" x14ac:dyDescent="0.45">
      <c r="A88" s="48">
        <v>86</v>
      </c>
      <c r="B88" s="49" t="s">
        <v>127</v>
      </c>
      <c r="C88" s="50" t="s">
        <v>112</v>
      </c>
      <c r="D88" s="40">
        <v>9</v>
      </c>
      <c r="E88" s="7">
        <v>10</v>
      </c>
      <c r="F88" s="7">
        <f t="shared" si="2"/>
        <v>19</v>
      </c>
      <c r="G88" s="7">
        <v>27</v>
      </c>
      <c r="H88" s="42">
        <f t="shared" si="3"/>
        <v>46</v>
      </c>
      <c r="I88" s="41"/>
      <c r="J88" s="41"/>
      <c r="K88" s="41">
        <f>SUM(Result2!$I88:$J88)</f>
        <v>0</v>
      </c>
      <c r="L88" s="41"/>
      <c r="M88" s="41">
        <f>SUM(Result2!$K88:$L88)</f>
        <v>0</v>
      </c>
      <c r="N88" s="47" t="str">
        <f>IF(Result2!$H88&gt;40,"ON LEVEL", IF(Result2!$H88&gt;30,"APPROACH", "BELOW LEVEL"))</f>
        <v>ON LEVEL</v>
      </c>
      <c r="O88" s="47" t="str">
        <f>IF(Result2!$M88&gt;40,"ONLEVEL", IF(Result2!$M88&gt;20,"APPROACH", "BELOW LEVEL"))</f>
        <v>BELOW LEVEL</v>
      </c>
    </row>
    <row r="89" spans="1:15" ht="15.75" customHeight="1" x14ac:dyDescent="0.45">
      <c r="A89" s="48">
        <v>87</v>
      </c>
      <c r="B89" s="49" t="s">
        <v>128</v>
      </c>
      <c r="C89" s="50" t="s">
        <v>112</v>
      </c>
      <c r="D89" s="40">
        <v>9.5</v>
      </c>
      <c r="E89" s="7">
        <v>10</v>
      </c>
      <c r="F89" s="7">
        <f t="shared" si="2"/>
        <v>19.5</v>
      </c>
      <c r="G89" s="99">
        <v>27.5</v>
      </c>
      <c r="H89" s="42">
        <f t="shared" si="3"/>
        <v>47</v>
      </c>
      <c r="I89" s="41"/>
      <c r="J89" s="41"/>
      <c r="K89" s="41">
        <f>SUM(Result2!$I89:$J89)</f>
        <v>0</v>
      </c>
      <c r="L89" s="41"/>
      <c r="M89" s="41">
        <f>SUM(Result2!$K89:$L89)</f>
        <v>0</v>
      </c>
      <c r="N89" s="47" t="str">
        <f>IF(Result2!$H89&gt;40,"ON LEVEL", IF(Result2!$H89&gt;30,"APPROACH", "BELOW LEVEL"))</f>
        <v>ON LEVEL</v>
      </c>
      <c r="O89" s="47" t="str">
        <f>IF(Result2!$M89&gt;40,"ONLEVEL", IF(Result2!$M89&gt;20,"APPROACH", "BELOW LEVEL"))</f>
        <v>BELOW LEVEL</v>
      </c>
    </row>
    <row r="90" spans="1:15" ht="15.75" customHeight="1" x14ac:dyDescent="0.45">
      <c r="A90" s="48">
        <v>88</v>
      </c>
      <c r="B90" s="49" t="s">
        <v>129</v>
      </c>
      <c r="C90" s="50" t="s">
        <v>112</v>
      </c>
      <c r="D90" s="40">
        <v>10</v>
      </c>
      <c r="E90" s="7">
        <v>10</v>
      </c>
      <c r="F90" s="7">
        <f t="shared" si="2"/>
        <v>20</v>
      </c>
      <c r="G90" s="7">
        <v>30</v>
      </c>
      <c r="H90" s="42">
        <f t="shared" si="3"/>
        <v>50</v>
      </c>
      <c r="I90" s="41"/>
      <c r="J90" s="41"/>
      <c r="K90" s="41">
        <f>SUM(Result2!$I90:$J90)</f>
        <v>0</v>
      </c>
      <c r="L90" s="41"/>
      <c r="M90" s="41">
        <f>SUM(Result2!$K90:$L90)</f>
        <v>0</v>
      </c>
      <c r="N90" s="47" t="str">
        <f>IF(Result2!$H90&gt;40,"ON LEVEL", IF(Result2!$H90&gt;30,"APPROACH", "BELOW LEVEL"))</f>
        <v>ON LEVEL</v>
      </c>
      <c r="O90" s="47" t="str">
        <f>IF(Result2!$M90&gt;40,"ONLEVEL", IF(Result2!$M90&gt;20,"APPROACH", "BELOW LEVEL"))</f>
        <v>BELOW LEVEL</v>
      </c>
    </row>
    <row r="91" spans="1:15" ht="15.75" customHeight="1" x14ac:dyDescent="0.45">
      <c r="A91" s="48">
        <v>89</v>
      </c>
      <c r="B91" s="49" t="s">
        <v>130</v>
      </c>
      <c r="C91" s="50" t="s">
        <v>131</v>
      </c>
      <c r="D91" s="40">
        <v>10</v>
      </c>
      <c r="E91" s="7">
        <v>10</v>
      </c>
      <c r="F91" s="7">
        <f t="shared" si="2"/>
        <v>20</v>
      </c>
      <c r="G91" s="7">
        <v>30</v>
      </c>
      <c r="H91" s="42">
        <f t="shared" si="3"/>
        <v>50</v>
      </c>
      <c r="I91" s="41"/>
      <c r="J91" s="41"/>
      <c r="K91" s="41">
        <f>SUM(Result2!$I91:$J91)</f>
        <v>0</v>
      </c>
      <c r="L91" s="41"/>
      <c r="M91" s="41">
        <f>SUM(Result2!$K91:$L91)</f>
        <v>0</v>
      </c>
      <c r="N91" s="47" t="str">
        <f>IF(Result2!$H91&gt;40,"ON LEVEL", IF(Result2!$H91&gt;30,"APPROACH", "BELOW LEVEL"))</f>
        <v>ON LEVEL</v>
      </c>
      <c r="O91" s="47" t="str">
        <f>IF(Result2!$M91&gt;40,"ONLEVEL", IF(Result2!$M91&gt;20,"APPROACH", "BELOW LEVEL"))</f>
        <v>BELOW LEVEL</v>
      </c>
    </row>
    <row r="92" spans="1:15" ht="15.75" customHeight="1" x14ac:dyDescent="0.45">
      <c r="A92" s="48">
        <v>90</v>
      </c>
      <c r="B92" s="49" t="s">
        <v>132</v>
      </c>
      <c r="C92" s="50" t="s">
        <v>131</v>
      </c>
      <c r="D92" s="40">
        <v>9</v>
      </c>
      <c r="E92" s="7">
        <v>10</v>
      </c>
      <c r="F92" s="7">
        <f t="shared" si="2"/>
        <v>19</v>
      </c>
      <c r="G92" s="7">
        <v>27</v>
      </c>
      <c r="H92" s="42">
        <f t="shared" si="3"/>
        <v>46</v>
      </c>
      <c r="I92" s="41"/>
      <c r="J92" s="41"/>
      <c r="K92" s="41">
        <f>SUM(Result2!$I92:$J92)</f>
        <v>0</v>
      </c>
      <c r="L92" s="41"/>
      <c r="M92" s="41">
        <f>SUM(Result2!$K92:$L92)</f>
        <v>0</v>
      </c>
      <c r="N92" s="47" t="str">
        <f>IF(Result2!$H92&gt;40,"ON LEVEL", IF(Result2!$H92&gt;30,"APPROACH", "BELOW LEVEL"))</f>
        <v>ON LEVEL</v>
      </c>
      <c r="O92" s="47" t="str">
        <f>IF(Result2!$M92&gt;40,"ONLEVEL", IF(Result2!$M92&gt;20,"APPROACH", "BELOW LEVEL"))</f>
        <v>BELOW LEVEL</v>
      </c>
    </row>
    <row r="93" spans="1:15" ht="15.75" customHeight="1" x14ac:dyDescent="0.45">
      <c r="A93" s="48">
        <v>91</v>
      </c>
      <c r="B93" s="49" t="s">
        <v>133</v>
      </c>
      <c r="C93" s="50" t="s">
        <v>131</v>
      </c>
      <c r="D93" s="40">
        <v>9.5</v>
      </c>
      <c r="E93" s="7">
        <v>10</v>
      </c>
      <c r="F93" s="7">
        <f t="shared" si="2"/>
        <v>19.5</v>
      </c>
      <c r="G93" s="7">
        <v>30</v>
      </c>
      <c r="H93" s="42">
        <f t="shared" si="3"/>
        <v>49.5</v>
      </c>
      <c r="I93" s="41"/>
      <c r="J93" s="41"/>
      <c r="K93" s="41">
        <f>SUM(Result2!$I93:$J93)</f>
        <v>0</v>
      </c>
      <c r="L93" s="41"/>
      <c r="M93" s="41">
        <f>SUM(Result2!$K93:$L93)</f>
        <v>0</v>
      </c>
      <c r="N93" s="47" t="str">
        <f>IF(Result2!$H93&gt;40,"ON LEVEL", IF(Result2!$H93&gt;30,"APPROACH", "BELOW LEVEL"))</f>
        <v>ON LEVEL</v>
      </c>
      <c r="O93" s="47" t="str">
        <f>IF(Result2!$M93&gt;40,"ONLEVEL", IF(Result2!$M93&gt;20,"APPROACH", "BELOW LEVEL"))</f>
        <v>BELOW LEVEL</v>
      </c>
    </row>
    <row r="94" spans="1:15" ht="15.75" customHeight="1" x14ac:dyDescent="0.45">
      <c r="A94" s="48">
        <v>92</v>
      </c>
      <c r="B94" s="49" t="s">
        <v>134</v>
      </c>
      <c r="C94" s="50" t="s">
        <v>131</v>
      </c>
      <c r="D94" s="40">
        <v>8</v>
      </c>
      <c r="E94" s="7">
        <v>10</v>
      </c>
      <c r="F94" s="7">
        <f t="shared" si="2"/>
        <v>18</v>
      </c>
      <c r="G94" s="7">
        <v>26</v>
      </c>
      <c r="H94" s="42">
        <f t="shared" si="3"/>
        <v>44</v>
      </c>
      <c r="I94" s="41"/>
      <c r="J94" s="41"/>
      <c r="K94" s="41">
        <f>SUM(Result2!$I94:$J94)</f>
        <v>0</v>
      </c>
      <c r="L94" s="41"/>
      <c r="M94" s="41">
        <f>SUM(Result2!$K94:$L94)</f>
        <v>0</v>
      </c>
      <c r="N94" s="47" t="str">
        <f>IF(Result2!$H94&gt;40,"ON LEVEL", IF(Result2!$H94&gt;30,"APPROACH", "BELOW LEVEL"))</f>
        <v>ON LEVEL</v>
      </c>
      <c r="O94" s="47" t="str">
        <f>IF(Result2!$M94&gt;40,"ONLEVEL", IF(Result2!$M94&gt;20,"APPROACH", "BELOW LEVEL"))</f>
        <v>BELOW LEVEL</v>
      </c>
    </row>
    <row r="95" spans="1:15" ht="15.75" customHeight="1" x14ac:dyDescent="0.45">
      <c r="A95" s="48">
        <v>93</v>
      </c>
      <c r="B95" s="49" t="s">
        <v>135</v>
      </c>
      <c r="C95" s="50" t="s">
        <v>131</v>
      </c>
      <c r="D95" s="40">
        <v>9.5</v>
      </c>
      <c r="E95" s="7">
        <v>10</v>
      </c>
      <c r="F95" s="7">
        <f t="shared" si="2"/>
        <v>19.5</v>
      </c>
      <c r="G95" s="7">
        <v>27</v>
      </c>
      <c r="H95" s="42">
        <f t="shared" si="3"/>
        <v>46.5</v>
      </c>
      <c r="I95" s="41"/>
      <c r="J95" s="41"/>
      <c r="K95" s="41">
        <f>SUM(Result2!$I95:$J95)</f>
        <v>0</v>
      </c>
      <c r="L95" s="41"/>
      <c r="M95" s="41">
        <f>SUM(Result2!$K95:$L95)</f>
        <v>0</v>
      </c>
      <c r="N95" s="47" t="str">
        <f>IF(Result2!$H95&gt;40,"ON LEVEL", IF(Result2!$H95&gt;30,"APPROACH", "BELOW LEVEL"))</f>
        <v>ON LEVEL</v>
      </c>
      <c r="O95" s="47" t="str">
        <f>IF(Result2!$M95&gt;40,"ONLEVEL", IF(Result2!$M95&gt;20,"APPROACH", "BELOW LEVEL"))</f>
        <v>BELOW LEVEL</v>
      </c>
    </row>
    <row r="96" spans="1:15" ht="15.75" customHeight="1" x14ac:dyDescent="0.45">
      <c r="A96" s="48">
        <v>94</v>
      </c>
      <c r="B96" s="49" t="s">
        <v>136</v>
      </c>
      <c r="C96" s="50" t="s">
        <v>131</v>
      </c>
      <c r="D96" s="40">
        <v>8.5</v>
      </c>
      <c r="E96" s="7">
        <v>10</v>
      </c>
      <c r="F96" s="7">
        <f t="shared" si="2"/>
        <v>18.5</v>
      </c>
      <c r="G96" s="7">
        <v>27</v>
      </c>
      <c r="H96" s="42">
        <f t="shared" si="3"/>
        <v>45.5</v>
      </c>
      <c r="I96" s="41"/>
      <c r="J96" s="41"/>
      <c r="K96" s="41">
        <f>SUM(Result2!$I96:$J96)</f>
        <v>0</v>
      </c>
      <c r="L96" s="41"/>
      <c r="M96" s="41">
        <f>SUM(Result2!$K96:$L96)</f>
        <v>0</v>
      </c>
      <c r="N96" s="47" t="str">
        <f>IF(Result2!$H96&gt;40,"ON LEVEL", IF(Result2!$H96&gt;30,"APPROACH", "BELOW LEVEL"))</f>
        <v>ON LEVEL</v>
      </c>
      <c r="O96" s="47" t="str">
        <f>IF(Result2!$M96&gt;40,"ONLEVEL", IF(Result2!$M96&gt;20,"APPROACH", "BELOW LEVEL"))</f>
        <v>BELOW LEVEL</v>
      </c>
    </row>
    <row r="97" spans="1:15" ht="15.75" customHeight="1" x14ac:dyDescent="0.45">
      <c r="A97" s="48">
        <v>95</v>
      </c>
      <c r="B97" s="49" t="s">
        <v>137</v>
      </c>
      <c r="C97" s="50" t="s">
        <v>131</v>
      </c>
      <c r="D97" s="40">
        <v>10</v>
      </c>
      <c r="E97" s="7">
        <v>10</v>
      </c>
      <c r="F97" s="7">
        <f t="shared" si="2"/>
        <v>20</v>
      </c>
      <c r="G97" s="99">
        <v>27.5</v>
      </c>
      <c r="H97" s="42">
        <f t="shared" si="3"/>
        <v>47.5</v>
      </c>
      <c r="I97" s="41"/>
      <c r="J97" s="41"/>
      <c r="K97" s="41">
        <f>SUM(Result2!$I97:$J97)</f>
        <v>0</v>
      </c>
      <c r="L97" s="41"/>
      <c r="M97" s="41">
        <f>SUM(Result2!$K97:$L97)</f>
        <v>0</v>
      </c>
      <c r="N97" s="47" t="str">
        <f>IF(Result2!$H97&gt;40,"ON LEVEL", IF(Result2!$H97&gt;30,"APPROACH", "BELOW LEVEL"))</f>
        <v>ON LEVEL</v>
      </c>
      <c r="O97" s="47" t="str">
        <f>IF(Result2!$M97&gt;40,"ONLEVEL", IF(Result2!$M97&gt;20,"APPROACH", "BELOW LEVEL"))</f>
        <v>BELOW LEVEL</v>
      </c>
    </row>
    <row r="98" spans="1:15" ht="15.75" customHeight="1" x14ac:dyDescent="0.45">
      <c r="A98" s="48">
        <v>96</v>
      </c>
      <c r="B98" s="49" t="s">
        <v>138</v>
      </c>
      <c r="C98" s="50" t="s">
        <v>131</v>
      </c>
      <c r="D98" s="40">
        <v>6.5</v>
      </c>
      <c r="E98" s="7">
        <v>10</v>
      </c>
      <c r="F98" s="7">
        <f t="shared" si="2"/>
        <v>16.5</v>
      </c>
      <c r="G98" s="99">
        <v>25.5</v>
      </c>
      <c r="H98" s="42">
        <f t="shared" si="3"/>
        <v>42</v>
      </c>
      <c r="I98" s="41"/>
      <c r="J98" s="41"/>
      <c r="K98" s="41">
        <f>SUM(Result2!$I98:$J98)</f>
        <v>0</v>
      </c>
      <c r="L98" s="41"/>
      <c r="M98" s="41">
        <f>SUM(Result2!$K98:$L98)</f>
        <v>0</v>
      </c>
      <c r="N98" s="47" t="str">
        <f>IF(Result2!$H98&gt;40,"ON LEVEL", IF(Result2!$H98&gt;30,"APPROACH", "BELOW LEVEL"))</f>
        <v>ON LEVEL</v>
      </c>
      <c r="O98" s="47" t="str">
        <f>IF(Result2!$M98&gt;40,"ONLEVEL", IF(Result2!$M98&gt;20,"APPROACH", "BELOW LEVEL"))</f>
        <v>BELOW LEVEL</v>
      </c>
    </row>
    <row r="99" spans="1:15" ht="15.75" customHeight="1" x14ac:dyDescent="0.45">
      <c r="A99" s="48">
        <v>97</v>
      </c>
      <c r="B99" s="49" t="s">
        <v>139</v>
      </c>
      <c r="C99" s="50" t="s">
        <v>131</v>
      </c>
      <c r="D99" s="40">
        <v>10</v>
      </c>
      <c r="E99" s="7">
        <v>10</v>
      </c>
      <c r="F99" s="7">
        <f t="shared" si="2"/>
        <v>20</v>
      </c>
      <c r="G99" s="7">
        <v>30</v>
      </c>
      <c r="H99" s="42">
        <f t="shared" si="3"/>
        <v>50</v>
      </c>
      <c r="I99" s="41"/>
      <c r="J99" s="41"/>
      <c r="K99" s="41">
        <f>SUM(Result2!$I99:$J99)</f>
        <v>0</v>
      </c>
      <c r="L99" s="41"/>
      <c r="M99" s="41">
        <f>SUM(Result2!$K99:$L99)</f>
        <v>0</v>
      </c>
      <c r="N99" s="47" t="str">
        <f>IF(Result2!$H99&gt;40,"ON LEVEL", IF(Result2!$H99&gt;30,"APPROACH", "BELOW LEVEL"))</f>
        <v>ON LEVEL</v>
      </c>
      <c r="O99" s="47" t="str">
        <f>IF(Result2!$M99&gt;40,"ONLEVEL", IF(Result2!$M99&gt;20,"APPROACH", "BELOW LEVEL"))</f>
        <v>BELOW LEVEL</v>
      </c>
    </row>
    <row r="100" spans="1:15" ht="15.75" customHeight="1" x14ac:dyDescent="0.45">
      <c r="A100" s="48">
        <v>98</v>
      </c>
      <c r="B100" s="49" t="s">
        <v>140</v>
      </c>
      <c r="C100" s="50" t="s">
        <v>131</v>
      </c>
      <c r="D100" s="40">
        <v>9.5</v>
      </c>
      <c r="E100" s="7">
        <v>10</v>
      </c>
      <c r="F100" s="7">
        <f t="shared" si="2"/>
        <v>19.5</v>
      </c>
      <c r="G100" s="7">
        <v>30</v>
      </c>
      <c r="H100" s="42">
        <f t="shared" si="3"/>
        <v>49.5</v>
      </c>
      <c r="I100" s="41"/>
      <c r="J100" s="41"/>
      <c r="K100" s="41">
        <f>SUM(Result2!$I100:$J100)</f>
        <v>0</v>
      </c>
      <c r="L100" s="41"/>
      <c r="M100" s="41">
        <f>SUM(Result2!$K100:$L100)</f>
        <v>0</v>
      </c>
      <c r="N100" s="47" t="str">
        <f>IF(Result2!$H100&gt;40,"ON LEVEL", IF(Result2!$H100&gt;30,"APPROACH", "BELOW LEVEL"))</f>
        <v>ON LEVEL</v>
      </c>
      <c r="O100" s="47" t="str">
        <f>IF(Result2!$M100&gt;40,"ONLEVEL", IF(Result2!$M100&gt;20,"APPROACH", "BELOW LEVEL"))</f>
        <v>BELOW LEVEL</v>
      </c>
    </row>
    <row r="101" spans="1:15" ht="15.75" customHeight="1" x14ac:dyDescent="0.45">
      <c r="A101" s="48">
        <v>99</v>
      </c>
      <c r="B101" s="49" t="s">
        <v>141</v>
      </c>
      <c r="C101" s="50" t="s">
        <v>131</v>
      </c>
      <c r="D101" s="40">
        <v>7.5</v>
      </c>
      <c r="E101" s="7">
        <v>10</v>
      </c>
      <c r="F101" s="7">
        <f t="shared" si="2"/>
        <v>17.5</v>
      </c>
      <c r="G101" s="7">
        <v>26</v>
      </c>
      <c r="H101" s="42">
        <f t="shared" si="3"/>
        <v>43.5</v>
      </c>
      <c r="I101" s="41"/>
      <c r="J101" s="41"/>
      <c r="K101" s="41">
        <f>SUM(Result2!$I101:$J101)</f>
        <v>0</v>
      </c>
      <c r="L101" s="41"/>
      <c r="M101" s="41">
        <f>SUM(Result2!$K101:$L101)</f>
        <v>0</v>
      </c>
      <c r="N101" s="47" t="str">
        <f>IF(Result2!$H101&gt;40,"ON LEVEL", IF(Result2!$H101&gt;30,"APPROACH", "BELOW LEVEL"))</f>
        <v>ON LEVEL</v>
      </c>
      <c r="O101" s="47" t="str">
        <f>IF(Result2!$M101&gt;40,"ONLEVEL", IF(Result2!$M101&gt;20,"APPROACH", "BELOW LEVEL"))</f>
        <v>BELOW LEVEL</v>
      </c>
    </row>
    <row r="102" spans="1:15" ht="15.75" customHeight="1" x14ac:dyDescent="0.45">
      <c r="A102" s="48">
        <v>100</v>
      </c>
      <c r="B102" s="49" t="s">
        <v>142</v>
      </c>
      <c r="C102" s="50" t="s">
        <v>131</v>
      </c>
      <c r="D102" s="40">
        <v>9</v>
      </c>
      <c r="E102" s="7">
        <v>10</v>
      </c>
      <c r="F102" s="7">
        <f t="shared" si="2"/>
        <v>19</v>
      </c>
      <c r="G102" s="99">
        <v>25.5</v>
      </c>
      <c r="H102" s="42">
        <f t="shared" si="3"/>
        <v>44.5</v>
      </c>
      <c r="I102" s="41"/>
      <c r="J102" s="41"/>
      <c r="K102" s="41">
        <f>SUM(Result2!$I102:$J102)</f>
        <v>0</v>
      </c>
      <c r="L102" s="41"/>
      <c r="M102" s="41">
        <f>SUM(Result2!$K102:$L102)</f>
        <v>0</v>
      </c>
      <c r="N102" s="47" t="str">
        <f>IF(Result2!$H102&gt;40,"ON LEVEL", IF(Result2!$H102&gt;30,"APPROACH", "BELOW LEVEL"))</f>
        <v>ON LEVEL</v>
      </c>
      <c r="O102" s="47" t="str">
        <f>IF(Result2!$M102&gt;40,"ONLEVEL", IF(Result2!$M102&gt;20,"APPROACH", "BELOW LEVEL"))</f>
        <v>BELOW LEVEL</v>
      </c>
    </row>
    <row r="103" spans="1:15" ht="15.75" customHeight="1" x14ac:dyDescent="0.45">
      <c r="A103" s="48">
        <v>101</v>
      </c>
      <c r="B103" s="49" t="s">
        <v>143</v>
      </c>
      <c r="C103" s="50" t="s">
        <v>131</v>
      </c>
      <c r="D103" s="40">
        <v>5.5</v>
      </c>
      <c r="E103" s="7">
        <v>10</v>
      </c>
      <c r="F103" s="7">
        <f t="shared" si="2"/>
        <v>15.5</v>
      </c>
      <c r="G103" s="99">
        <v>21.5</v>
      </c>
      <c r="H103" s="42">
        <f t="shared" si="3"/>
        <v>37</v>
      </c>
      <c r="I103" s="41"/>
      <c r="J103" s="41"/>
      <c r="K103" s="41">
        <f>SUM(Result2!$I103:$J103)</f>
        <v>0</v>
      </c>
      <c r="L103" s="41"/>
      <c r="M103" s="41">
        <f>SUM(Result2!$K103:$L103)</f>
        <v>0</v>
      </c>
      <c r="N103" s="47" t="str">
        <f>IF(Result2!$H103&gt;40,"ON LEVEL", IF(Result2!$H103&gt;30,"APPROACH", "BELOW LEVEL"))</f>
        <v>APPROACH</v>
      </c>
      <c r="O103" s="47" t="str">
        <f>IF(Result2!$M103&gt;40,"ONLEVEL", IF(Result2!$M103&gt;20,"APPROACH", "BELOW LEVEL"))</f>
        <v>BELOW LEVEL</v>
      </c>
    </row>
    <row r="104" spans="1:15" ht="15.75" customHeight="1" x14ac:dyDescent="0.45">
      <c r="A104" s="48">
        <v>102</v>
      </c>
      <c r="B104" s="49" t="s">
        <v>144</v>
      </c>
      <c r="C104" s="50" t="s">
        <v>131</v>
      </c>
      <c r="D104" s="40">
        <v>10</v>
      </c>
      <c r="E104" s="7">
        <v>10</v>
      </c>
      <c r="F104" s="7">
        <f t="shared" si="2"/>
        <v>20</v>
      </c>
      <c r="G104" s="99">
        <v>27.5</v>
      </c>
      <c r="H104" s="42">
        <f t="shared" si="3"/>
        <v>47.5</v>
      </c>
      <c r="I104" s="41"/>
      <c r="J104" s="41"/>
      <c r="K104" s="41">
        <f>SUM(Result2!$I104:$J104)</f>
        <v>0</v>
      </c>
      <c r="L104" s="41"/>
      <c r="M104" s="41">
        <f>SUM(Result2!$K104:$L104)</f>
        <v>0</v>
      </c>
      <c r="N104" s="47" t="str">
        <f>IF(Result2!$H104&gt;40,"ON LEVEL", IF(Result2!$H104&gt;30,"APPROACH", "BELOW LEVEL"))</f>
        <v>ON LEVEL</v>
      </c>
      <c r="O104" s="47" t="str">
        <f>IF(Result2!$M104&gt;40,"ONLEVEL", IF(Result2!$M104&gt;20,"APPROACH", "BELOW LEVEL"))</f>
        <v>BELOW LEVEL</v>
      </c>
    </row>
    <row r="105" spans="1:15" ht="15.75" customHeight="1" x14ac:dyDescent="0.45">
      <c r="A105" s="48">
        <v>103</v>
      </c>
      <c r="B105" s="49" t="s">
        <v>145</v>
      </c>
      <c r="C105" s="50" t="s">
        <v>131</v>
      </c>
      <c r="D105" s="40">
        <v>9.5</v>
      </c>
      <c r="E105" s="7">
        <v>10</v>
      </c>
      <c r="F105" s="7">
        <f t="shared" si="2"/>
        <v>19.5</v>
      </c>
      <c r="G105" s="7">
        <v>29</v>
      </c>
      <c r="H105" s="42">
        <f t="shared" si="3"/>
        <v>48.5</v>
      </c>
      <c r="I105" s="41"/>
      <c r="J105" s="41"/>
      <c r="K105" s="41">
        <f>SUM(Result2!$I105:$J105)</f>
        <v>0</v>
      </c>
      <c r="L105" s="41"/>
      <c r="M105" s="41">
        <f>SUM(Result2!$K105:$L105)</f>
        <v>0</v>
      </c>
      <c r="N105" s="47" t="str">
        <f>IF(Result2!$H105&gt;40,"ON LEVEL", IF(Result2!$H105&gt;30,"APPROACH", "BELOW LEVEL"))</f>
        <v>ON LEVEL</v>
      </c>
      <c r="O105" s="47" t="str">
        <f>IF(Result2!$M105&gt;40,"ONLEVEL", IF(Result2!$M105&gt;20,"APPROACH", "BELOW LEVEL"))</f>
        <v>BELOW LEVEL</v>
      </c>
    </row>
    <row r="106" spans="1:15" ht="15.75" customHeight="1" x14ac:dyDescent="0.45">
      <c r="A106" s="48">
        <v>104</v>
      </c>
      <c r="B106" s="49" t="s">
        <v>146</v>
      </c>
      <c r="C106" s="50" t="s">
        <v>131</v>
      </c>
      <c r="D106" s="40">
        <v>10</v>
      </c>
      <c r="E106" s="7">
        <v>10</v>
      </c>
      <c r="F106" s="7">
        <f t="shared" si="2"/>
        <v>20</v>
      </c>
      <c r="G106" s="99">
        <v>27.5</v>
      </c>
      <c r="H106" s="42">
        <f t="shared" si="3"/>
        <v>47.5</v>
      </c>
      <c r="I106" s="41"/>
      <c r="J106" s="41"/>
      <c r="K106" s="41">
        <f>SUM(Result2!$I106:$J106)</f>
        <v>0</v>
      </c>
      <c r="L106" s="41"/>
      <c r="M106" s="41">
        <f>SUM(Result2!$K106:$L106)</f>
        <v>0</v>
      </c>
      <c r="N106" s="47" t="str">
        <f>IF(Result2!$H106&gt;40,"ON LEVEL", IF(Result2!$H106&gt;30,"APPROACH", "BELOW LEVEL"))</f>
        <v>ON LEVEL</v>
      </c>
      <c r="O106" s="47" t="str">
        <f>IF(Result2!$M106&gt;40,"ONLEVEL", IF(Result2!$M106&gt;20,"APPROACH", "BELOW LEVEL"))</f>
        <v>BELOW LEVEL</v>
      </c>
    </row>
    <row r="107" spans="1:15" ht="15.75" customHeight="1" x14ac:dyDescent="0.45">
      <c r="A107" s="48">
        <v>105</v>
      </c>
      <c r="B107" s="49" t="s">
        <v>147</v>
      </c>
      <c r="C107" s="50" t="s">
        <v>131</v>
      </c>
      <c r="D107" s="40">
        <v>10</v>
      </c>
      <c r="E107" s="7">
        <v>10</v>
      </c>
      <c r="F107" s="7">
        <f t="shared" si="2"/>
        <v>20</v>
      </c>
      <c r="G107" s="99">
        <v>29.5</v>
      </c>
      <c r="H107" s="42">
        <f t="shared" si="3"/>
        <v>49.5</v>
      </c>
      <c r="I107" s="41"/>
      <c r="J107" s="41"/>
      <c r="K107" s="41">
        <f>SUM(Result2!$I107:$J107)</f>
        <v>0</v>
      </c>
      <c r="L107" s="41"/>
      <c r="M107" s="41">
        <f>SUM(Result2!$K107:$L107)</f>
        <v>0</v>
      </c>
      <c r="N107" s="47" t="str">
        <f>IF(Result2!$H107&gt;40,"ON LEVEL", IF(Result2!$H107&gt;30,"APPROACH", "BELOW LEVEL"))</f>
        <v>ON LEVEL</v>
      </c>
      <c r="O107" s="47" t="str">
        <f>IF(Result2!$M107&gt;40,"ONLEVEL", IF(Result2!$M107&gt;20,"APPROACH", "BELOW LEVEL"))</f>
        <v>BELOW LEVEL</v>
      </c>
    </row>
    <row r="108" spans="1:15" ht="15.75" customHeight="1" x14ac:dyDescent="0.45">
      <c r="A108" s="48">
        <v>106</v>
      </c>
      <c r="B108" s="49" t="s">
        <v>148</v>
      </c>
      <c r="C108" s="50" t="s">
        <v>131</v>
      </c>
      <c r="D108" s="40">
        <v>9.5</v>
      </c>
      <c r="E108" s="7">
        <v>10</v>
      </c>
      <c r="F108" s="7">
        <f t="shared" si="2"/>
        <v>19.5</v>
      </c>
      <c r="G108" s="99">
        <v>27.5</v>
      </c>
      <c r="H108" s="42">
        <f t="shared" si="3"/>
        <v>47</v>
      </c>
      <c r="I108" s="41"/>
      <c r="J108" s="41"/>
      <c r="K108" s="41">
        <f>SUM(Result2!$I108:$J108)</f>
        <v>0</v>
      </c>
      <c r="L108" s="41"/>
      <c r="M108" s="41">
        <f>SUM(Result2!$K108:$L108)</f>
        <v>0</v>
      </c>
      <c r="N108" s="47" t="str">
        <f>IF(Result2!$H108&gt;40,"ON LEVEL", IF(Result2!$H108&gt;30,"APPROACH", "BELOW LEVEL"))</f>
        <v>ON LEVEL</v>
      </c>
      <c r="O108" s="47" t="str">
        <f>IF(Result2!$M108&gt;40,"ONLEVEL", IF(Result2!$M108&gt;20,"APPROACH", "BELOW LEVEL"))</f>
        <v>BELOW LEVEL</v>
      </c>
    </row>
    <row r="109" spans="1:15" ht="15.75" customHeight="1" x14ac:dyDescent="0.45">
      <c r="A109" s="48">
        <v>107</v>
      </c>
      <c r="B109" s="49" t="s">
        <v>149</v>
      </c>
      <c r="C109" s="50" t="s">
        <v>131</v>
      </c>
      <c r="D109" s="40">
        <v>10</v>
      </c>
      <c r="E109" s="7">
        <v>10</v>
      </c>
      <c r="F109" s="7">
        <f t="shared" si="2"/>
        <v>20</v>
      </c>
      <c r="G109" s="7">
        <v>30</v>
      </c>
      <c r="H109" s="42">
        <f t="shared" si="3"/>
        <v>50</v>
      </c>
      <c r="I109" s="41"/>
      <c r="J109" s="41"/>
      <c r="K109" s="41">
        <f>SUM(Result2!$I109:$J109)</f>
        <v>0</v>
      </c>
      <c r="L109" s="41"/>
      <c r="M109" s="41">
        <f>SUM(Result2!$K109:$L109)</f>
        <v>0</v>
      </c>
      <c r="N109" s="47" t="str">
        <f>IF(Result2!$H109&gt;40,"ON LEVEL", IF(Result2!$H109&gt;30,"APPROACH", "BELOW LEVEL"))</f>
        <v>ON LEVEL</v>
      </c>
      <c r="O109" s="47" t="str">
        <f>IF(Result2!$M109&gt;40,"ONLEVEL", IF(Result2!$M109&gt;20,"APPROACH", "BELOW LEVEL"))</f>
        <v>BELOW LEVEL</v>
      </c>
    </row>
    <row r="110" spans="1:15" ht="15.75" customHeight="1" x14ac:dyDescent="0.45">
      <c r="A110" s="48">
        <v>108</v>
      </c>
      <c r="B110" s="49" t="s">
        <v>150</v>
      </c>
      <c r="C110" s="50" t="s">
        <v>131</v>
      </c>
      <c r="D110" s="40">
        <v>8</v>
      </c>
      <c r="E110" s="7">
        <v>10</v>
      </c>
      <c r="F110" s="7">
        <f t="shared" si="2"/>
        <v>18</v>
      </c>
      <c r="G110" s="99">
        <v>28.5</v>
      </c>
      <c r="H110" s="42">
        <f t="shared" si="3"/>
        <v>46.5</v>
      </c>
      <c r="I110" s="41"/>
      <c r="J110" s="41"/>
      <c r="K110" s="41">
        <f>SUM(Result2!$I110:$J110)</f>
        <v>0</v>
      </c>
      <c r="L110" s="41"/>
      <c r="M110" s="41">
        <f>SUM(Result2!$K110:$L110)</f>
        <v>0</v>
      </c>
      <c r="N110" s="47" t="str">
        <f>IF(Result2!$H110&gt;40,"ON LEVEL", IF(Result2!$H110&gt;30,"APPROACH", "BELOW LEVEL"))</f>
        <v>ON LEVEL</v>
      </c>
      <c r="O110" s="47" t="str">
        <f>IF(Result2!$M110&gt;40,"ONLEVEL", IF(Result2!$M110&gt;20,"APPROACH", "BELOW LEVEL"))</f>
        <v>BELOW LEVEL</v>
      </c>
    </row>
    <row r="111" spans="1:15" ht="15.75" customHeight="1" x14ac:dyDescent="0.45"/>
    <row r="112" spans="1:15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7">
    <mergeCell ref="N1:N2"/>
    <mergeCell ref="O1:O2"/>
    <mergeCell ref="A1:A2"/>
    <mergeCell ref="B1:B2"/>
    <mergeCell ref="C1:C2"/>
    <mergeCell ref="D1:H1"/>
    <mergeCell ref="I1:M1"/>
  </mergeCells>
  <conditionalFormatting sqref="N3:N110">
    <cfRule type="containsText" dxfId="0" priority="1" operator="containsText" text="APPROACH">
      <formula>NOT(ISERROR(SEARCH("APPROACH",N3)))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3984375" defaultRowHeight="15" customHeight="1" x14ac:dyDescent="0.45"/>
  <cols>
    <col min="1" max="2" width="8.73046875" customWidth="1"/>
    <col min="3" max="3" width="11.3984375" customWidth="1"/>
    <col min="4" max="26" width="8.73046875" customWidth="1"/>
  </cols>
  <sheetData>
    <row r="1" spans="1:26" ht="14.25" x14ac:dyDescent="0.45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spans="1:26" ht="67.5" customHeight="1" x14ac:dyDescent="0.4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6" ht="20.65" x14ac:dyDescent="0.45">
      <c r="A3" s="51"/>
      <c r="B3" s="51"/>
      <c r="C3" s="51"/>
      <c r="D3" s="51"/>
      <c r="E3" s="51"/>
      <c r="F3" s="51"/>
      <c r="G3" s="51"/>
      <c r="H3" s="52" t="s">
        <v>162</v>
      </c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spans="1:26" ht="14.25" x14ac:dyDescent="0.45">
      <c r="A4" s="51"/>
      <c r="B4" s="51"/>
      <c r="C4" s="51"/>
      <c r="D4" s="51"/>
      <c r="E4" s="53" t="s">
        <v>163</v>
      </c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spans="1:26" ht="14.25" x14ac:dyDescent="0.45">
      <c r="A5" s="51"/>
      <c r="B5" s="54"/>
      <c r="C5" s="54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 ht="14.25" x14ac:dyDescent="0.45">
      <c r="A6" s="55"/>
      <c r="B6" s="56" t="s">
        <v>164</v>
      </c>
      <c r="C6" s="56" t="s">
        <v>165</v>
      </c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spans="1:26" ht="16.5" customHeight="1" x14ac:dyDescent="0.45">
      <c r="A7" s="51"/>
      <c r="B7" s="95" t="s">
        <v>166</v>
      </c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57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spans="1:26" ht="14.25" x14ac:dyDescent="0.45">
      <c r="A8" s="51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57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1:26" ht="14.25" x14ac:dyDescent="0.45">
      <c r="A9" s="51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57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 ht="14.25" x14ac:dyDescent="0.45">
      <c r="A10" s="51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57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1:26" ht="14.25" x14ac:dyDescent="0.45">
      <c r="A11" s="51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7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1:26" ht="20.25" x14ac:dyDescent="0.6">
      <c r="A12" s="55"/>
      <c r="B12" s="59" t="s">
        <v>167</v>
      </c>
      <c r="C12" s="96" t="s">
        <v>168</v>
      </c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4"/>
      <c r="P12" s="57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1:26" ht="24" customHeight="1" x14ac:dyDescent="0.45">
      <c r="A13" s="55"/>
      <c r="B13" s="79">
        <v>1</v>
      </c>
      <c r="C13" s="82" t="s">
        <v>169</v>
      </c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4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1:26" ht="14.25" x14ac:dyDescent="0.45">
      <c r="A14" s="55"/>
      <c r="B14" s="80"/>
      <c r="C14" s="97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7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spans="1:26" ht="14.25" x14ac:dyDescent="0.45">
      <c r="A15" s="55"/>
      <c r="B15" s="80"/>
      <c r="C15" s="88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90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spans="1:26" ht="14.25" x14ac:dyDescent="0.45">
      <c r="A16" s="55"/>
      <c r="B16" s="80"/>
      <c r="C16" s="88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90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spans="1:26" ht="14.25" x14ac:dyDescent="0.45">
      <c r="A17" s="55"/>
      <c r="B17" s="80"/>
      <c r="C17" s="88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90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spans="1:26" ht="14.25" x14ac:dyDescent="0.45">
      <c r="A18" s="55"/>
      <c r="B18" s="80"/>
      <c r="C18" s="88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90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spans="1:26" ht="14.25" x14ac:dyDescent="0.45">
      <c r="A19" s="55"/>
      <c r="B19" s="80"/>
      <c r="C19" s="88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90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spans="1:26" ht="14.25" x14ac:dyDescent="0.45">
      <c r="A20" s="55"/>
      <c r="B20" s="80"/>
      <c r="C20" s="88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90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spans="1:26" ht="15.75" customHeight="1" x14ac:dyDescent="0.45">
      <c r="A21" s="55"/>
      <c r="B21" s="81"/>
      <c r="C21" s="91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3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spans="1:26" ht="24" customHeight="1" x14ac:dyDescent="0.45">
      <c r="A22" s="55"/>
      <c r="B22" s="79">
        <v>2</v>
      </c>
      <c r="C22" s="82" t="s">
        <v>170</v>
      </c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4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spans="1:26" ht="15.75" customHeight="1" x14ac:dyDescent="0.45">
      <c r="A23" s="55"/>
      <c r="B23" s="80"/>
      <c r="C23" s="98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7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spans="1:26" ht="15.75" customHeight="1" x14ac:dyDescent="0.45">
      <c r="A24" s="55"/>
      <c r="B24" s="80"/>
      <c r="C24" s="88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90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spans="1:26" ht="15.75" customHeight="1" x14ac:dyDescent="0.45">
      <c r="A25" s="55"/>
      <c r="B25" s="80"/>
      <c r="C25" s="88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90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spans="1:26" ht="15.75" customHeight="1" x14ac:dyDescent="0.45">
      <c r="A26" s="55"/>
      <c r="B26" s="80"/>
      <c r="C26" s="88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90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spans="1:26" ht="15.75" customHeight="1" x14ac:dyDescent="0.45">
      <c r="A27" s="55"/>
      <c r="B27" s="80"/>
      <c r="C27" s="88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90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spans="1:26" ht="15.75" customHeight="1" x14ac:dyDescent="0.45">
      <c r="A28" s="55"/>
      <c r="B28" s="81"/>
      <c r="C28" s="91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3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spans="1:26" ht="33" customHeight="1" x14ac:dyDescent="0.45">
      <c r="A29" s="55"/>
      <c r="B29" s="79">
        <v>3</v>
      </c>
      <c r="C29" s="82" t="s">
        <v>171</v>
      </c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4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spans="1:26" ht="103.5" customHeight="1" x14ac:dyDescent="0.45">
      <c r="A30" s="55"/>
      <c r="B30" s="80"/>
      <c r="C30" s="85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7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spans="1:26" ht="15.75" customHeight="1" x14ac:dyDescent="0.45">
      <c r="A31" s="55"/>
      <c r="B31" s="80"/>
      <c r="C31" s="88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90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1:26" ht="15.75" customHeight="1" x14ac:dyDescent="0.45">
      <c r="A32" s="55"/>
      <c r="B32" s="81"/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3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spans="1:26" ht="30" customHeight="1" x14ac:dyDescent="0.45">
      <c r="A33" s="55"/>
      <c r="B33" s="79">
        <v>4</v>
      </c>
      <c r="C33" s="82" t="s">
        <v>172</v>
      </c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4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spans="1:26" ht="88.5" customHeight="1" x14ac:dyDescent="0.45">
      <c r="A34" s="55"/>
      <c r="B34" s="80"/>
      <c r="C34" s="94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7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spans="1:26" ht="15.75" customHeight="1" x14ac:dyDescent="0.45">
      <c r="A35" s="55"/>
      <c r="B35" s="80"/>
      <c r="C35" s="88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90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spans="1:26" ht="15.75" customHeight="1" x14ac:dyDescent="0.45">
      <c r="A36" s="55"/>
      <c r="B36" s="80"/>
      <c r="C36" s="88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90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spans="1:26" ht="15.75" customHeight="1" x14ac:dyDescent="0.45">
      <c r="A37" s="55"/>
      <c r="B37" s="81"/>
      <c r="C37" s="91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3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spans="1:26" ht="15.75" customHeight="1" x14ac:dyDescent="0.45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spans="1:26" ht="15.75" customHeight="1" x14ac:dyDescent="0.45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60" t="s">
        <v>173</v>
      </c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6" ht="15.75" customHeight="1" x14ac:dyDescent="0.45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60" t="s">
        <v>174</v>
      </c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6" ht="15.75" customHeight="1" x14ac:dyDescent="0.45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6" ht="15.75" customHeight="1" x14ac:dyDescent="0.45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6" ht="15.75" customHeight="1" x14ac:dyDescent="0.45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6" ht="15.75" customHeight="1" x14ac:dyDescent="0.45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6" ht="15.75" customHeight="1" x14ac:dyDescent="0.45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6" ht="15.75" customHeight="1" x14ac:dyDescent="0.45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5.75" customHeight="1" x14ac:dyDescent="0.45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6" ht="15.75" customHeight="1" x14ac:dyDescent="0.45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ht="15.75" customHeight="1" x14ac:dyDescent="0.45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ht="15.75" customHeight="1" x14ac:dyDescent="0.45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ht="15.75" customHeight="1" x14ac:dyDescent="0.45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ht="15.75" customHeight="1" x14ac:dyDescent="0.45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ht="15.75" customHeight="1" x14ac:dyDescent="0.45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ht="15.75" customHeight="1" x14ac:dyDescent="0.45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ht="15.75" customHeight="1" x14ac:dyDescent="0.45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ht="15.75" customHeight="1" x14ac:dyDescent="0.45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ht="15.75" customHeight="1" x14ac:dyDescent="0.45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ht="15.75" customHeight="1" x14ac:dyDescent="0.45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ht="15.75" customHeight="1" x14ac:dyDescent="0.45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ht="15.75" customHeight="1" x14ac:dyDescent="0.45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ht="15.75" customHeight="1" x14ac:dyDescent="0.45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ht="15.75" customHeight="1" x14ac:dyDescent="0.45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ht="15.75" customHeight="1" x14ac:dyDescent="0.45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ht="15.75" customHeight="1" x14ac:dyDescent="0.45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ht="15.75" customHeight="1" x14ac:dyDescent="0.4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ht="15.75" customHeight="1" x14ac:dyDescent="0.45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ht="15.75" customHeight="1" x14ac:dyDescent="0.45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ht="15.75" customHeight="1" x14ac:dyDescent="0.45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ht="15.75" customHeight="1" x14ac:dyDescent="0.45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ht="15.75" customHeight="1" x14ac:dyDescent="0.45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ht="15.75" customHeight="1" x14ac:dyDescent="0.45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spans="1:26" ht="15.75" customHeight="1" x14ac:dyDescent="0.45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spans="1:26" ht="15.75" customHeight="1" x14ac:dyDescent="0.45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spans="1:26" ht="15.75" customHeight="1" x14ac:dyDescent="0.45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spans="1:26" ht="15.75" customHeight="1" x14ac:dyDescent="0.4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spans="1:26" ht="15.75" customHeight="1" x14ac:dyDescent="0.45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spans="1:26" ht="15.75" customHeight="1" x14ac:dyDescent="0.45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spans="1:26" ht="15.75" customHeight="1" x14ac:dyDescent="0.45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spans="1:26" ht="15.75" customHeight="1" x14ac:dyDescent="0.45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spans="1:26" ht="15.75" customHeight="1" x14ac:dyDescent="0.45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spans="1:26" ht="15.75" customHeight="1" x14ac:dyDescent="0.45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spans="1:26" ht="15.75" customHeight="1" x14ac:dyDescent="0.45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spans="1:26" ht="15.75" customHeight="1" x14ac:dyDescent="0.45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spans="1:26" ht="15.75" customHeight="1" x14ac:dyDescent="0.45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spans="1:26" ht="15.75" customHeight="1" x14ac:dyDescent="0.4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spans="1:26" ht="15.75" customHeight="1" x14ac:dyDescent="0.45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spans="1:26" ht="15.75" customHeight="1" x14ac:dyDescent="0.45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spans="1:26" ht="15.75" customHeight="1" x14ac:dyDescent="0.45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spans="1:26" ht="15.75" customHeight="1" x14ac:dyDescent="0.45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spans="1:26" ht="15.75" customHeight="1" x14ac:dyDescent="0.45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spans="1:26" ht="15.75" customHeight="1" x14ac:dyDescent="0.45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spans="1:26" ht="15.75" customHeight="1" x14ac:dyDescent="0.45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spans="1:26" ht="15.75" customHeight="1" x14ac:dyDescent="0.45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spans="1:26" ht="15.75" customHeight="1" x14ac:dyDescent="0.45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spans="1:26" ht="15.75" customHeight="1" x14ac:dyDescent="0.4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spans="1:26" ht="15.75" customHeight="1" x14ac:dyDescent="0.45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spans="1:26" ht="15.75" customHeight="1" x14ac:dyDescent="0.45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spans="1:26" ht="15.75" customHeight="1" x14ac:dyDescent="0.45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spans="1:26" ht="15.75" customHeight="1" x14ac:dyDescent="0.45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spans="1:26" ht="15.75" customHeight="1" x14ac:dyDescent="0.45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spans="1:26" ht="15.75" customHeight="1" x14ac:dyDescent="0.45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spans="1:26" ht="15.75" customHeight="1" x14ac:dyDescent="0.45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spans="1:26" ht="15.75" customHeight="1" x14ac:dyDescent="0.45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spans="1:26" ht="15.75" customHeight="1" x14ac:dyDescent="0.45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spans="1:26" ht="15.75" customHeight="1" x14ac:dyDescent="0.4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spans="1:26" ht="15.75" customHeight="1" x14ac:dyDescent="0.45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spans="1:26" ht="15.75" customHeight="1" x14ac:dyDescent="0.45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spans="1:26" ht="15.75" customHeight="1" x14ac:dyDescent="0.45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spans="1:26" ht="15.75" customHeight="1" x14ac:dyDescent="0.45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spans="1:26" ht="15.75" customHeight="1" x14ac:dyDescent="0.45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spans="1:26" ht="15.75" customHeight="1" x14ac:dyDescent="0.45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spans="1:26" ht="15.75" customHeight="1" x14ac:dyDescent="0.45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spans="1:26" ht="15.75" customHeight="1" x14ac:dyDescent="0.45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spans="1:26" ht="15.75" customHeight="1" x14ac:dyDescent="0.45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spans="1:26" ht="15.75" customHeight="1" x14ac:dyDescent="0.4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spans="1:26" ht="15.75" customHeight="1" x14ac:dyDescent="0.45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spans="1:26" ht="15.75" customHeight="1" x14ac:dyDescent="0.45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spans="1:26" ht="15.75" customHeight="1" x14ac:dyDescent="0.45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spans="1:26" ht="15.75" customHeight="1" x14ac:dyDescent="0.45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spans="1:26" ht="15.75" customHeight="1" x14ac:dyDescent="0.45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spans="1:26" ht="15.75" customHeight="1" x14ac:dyDescent="0.45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spans="1:26" ht="15.75" customHeight="1" x14ac:dyDescent="0.45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spans="1:26" ht="15.75" customHeight="1" x14ac:dyDescent="0.45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spans="1:26" ht="15.75" customHeight="1" x14ac:dyDescent="0.45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spans="1:26" ht="15.75" customHeight="1" x14ac:dyDescent="0.4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spans="1:26" ht="15.75" customHeight="1" x14ac:dyDescent="0.45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spans="1:26" ht="15.75" customHeight="1" x14ac:dyDescent="0.45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spans="1:26" ht="15.75" customHeight="1" x14ac:dyDescent="0.45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spans="1:26" ht="15.75" customHeight="1" x14ac:dyDescent="0.45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spans="1:26" ht="15.75" customHeight="1" x14ac:dyDescent="0.45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spans="1:26" ht="15.75" customHeight="1" x14ac:dyDescent="0.45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spans="1:26" ht="15.75" customHeight="1" x14ac:dyDescent="0.45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spans="1:26" ht="15.75" customHeight="1" x14ac:dyDescent="0.45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spans="1:26" ht="15.75" customHeight="1" x14ac:dyDescent="0.45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spans="1:26" ht="15.75" customHeight="1" x14ac:dyDescent="0.4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spans="1:26" ht="15.75" customHeight="1" x14ac:dyDescent="0.45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spans="1:26" ht="15.75" customHeight="1" x14ac:dyDescent="0.45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spans="1:26" ht="15.75" customHeight="1" x14ac:dyDescent="0.45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spans="1:26" ht="15.75" customHeight="1" x14ac:dyDescent="0.45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spans="1:26" ht="15.75" customHeight="1" x14ac:dyDescent="0.45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spans="1:26" ht="15.75" customHeight="1" x14ac:dyDescent="0.45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spans="1:26" ht="15.75" customHeight="1" x14ac:dyDescent="0.45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spans="1:26" ht="15.75" customHeight="1" x14ac:dyDescent="0.45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spans="1:26" ht="15.75" customHeight="1" x14ac:dyDescent="0.45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spans="1:26" ht="15.75" customHeight="1" x14ac:dyDescent="0.4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spans="1:26" ht="15.75" customHeight="1" x14ac:dyDescent="0.45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spans="1:26" ht="15.75" customHeight="1" x14ac:dyDescent="0.45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spans="1:26" ht="15.75" customHeight="1" x14ac:dyDescent="0.45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spans="1:26" ht="15.75" customHeight="1" x14ac:dyDescent="0.45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spans="1:26" ht="15.75" customHeight="1" x14ac:dyDescent="0.45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spans="1:26" ht="15.75" customHeight="1" x14ac:dyDescent="0.45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spans="1:26" ht="15.75" customHeight="1" x14ac:dyDescent="0.45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spans="1:26" ht="15.75" customHeight="1" x14ac:dyDescent="0.45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spans="1:26" ht="15.75" customHeight="1" x14ac:dyDescent="0.45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spans="1:26" ht="15.75" customHeight="1" x14ac:dyDescent="0.4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spans="1:26" ht="15.75" customHeight="1" x14ac:dyDescent="0.45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spans="1:26" ht="15.75" customHeight="1" x14ac:dyDescent="0.45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spans="1:26" ht="15.75" customHeight="1" x14ac:dyDescent="0.45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spans="1:26" ht="15.75" customHeight="1" x14ac:dyDescent="0.45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spans="1:26" ht="15.75" customHeight="1" x14ac:dyDescent="0.45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spans="1:26" ht="15.75" customHeight="1" x14ac:dyDescent="0.45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spans="1:26" ht="15.75" customHeight="1" x14ac:dyDescent="0.45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spans="1:26" ht="15.75" customHeight="1" x14ac:dyDescent="0.45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spans="1:26" ht="15.75" customHeight="1" x14ac:dyDescent="0.45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spans="1:26" ht="15.75" customHeight="1" x14ac:dyDescent="0.45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spans="1:26" ht="15.75" customHeight="1" x14ac:dyDescent="0.45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spans="1:26" ht="15.75" customHeight="1" x14ac:dyDescent="0.45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spans="1:26" ht="15.75" customHeight="1" x14ac:dyDescent="0.45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spans="1:26" ht="15.75" customHeight="1" x14ac:dyDescent="0.45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spans="1:26" ht="15.75" customHeight="1" x14ac:dyDescent="0.45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spans="1:26" ht="15.75" customHeight="1" x14ac:dyDescent="0.45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spans="1:26" ht="15.75" customHeight="1" x14ac:dyDescent="0.45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spans="1:26" ht="15.75" customHeight="1" x14ac:dyDescent="0.45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spans="1:26" ht="15.75" customHeight="1" x14ac:dyDescent="0.45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spans="1:26" ht="15.75" customHeight="1" x14ac:dyDescent="0.45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spans="1:26" ht="15.75" customHeight="1" x14ac:dyDescent="0.45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spans="1:26" ht="15.75" customHeight="1" x14ac:dyDescent="0.45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spans="1:26" ht="15.75" customHeight="1" x14ac:dyDescent="0.45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spans="1:26" ht="15.75" customHeight="1" x14ac:dyDescent="0.45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spans="1:26" ht="15.75" customHeight="1" x14ac:dyDescent="0.45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spans="1:26" ht="15.75" customHeight="1" x14ac:dyDescent="0.45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spans="1:26" ht="15.75" customHeight="1" x14ac:dyDescent="0.45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spans="1:26" ht="15.75" customHeight="1" x14ac:dyDescent="0.45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spans="1:26" ht="15.75" customHeight="1" x14ac:dyDescent="0.45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spans="1:26" ht="15.75" customHeight="1" x14ac:dyDescent="0.45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spans="1:26" ht="15.75" customHeight="1" x14ac:dyDescent="0.45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spans="1:26" ht="15.75" customHeight="1" x14ac:dyDescent="0.45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spans="1:26" ht="15.75" customHeight="1" x14ac:dyDescent="0.45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spans="1:26" ht="15.75" customHeight="1" x14ac:dyDescent="0.45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spans="1:26" ht="15.75" customHeight="1" x14ac:dyDescent="0.45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spans="1:26" ht="15.75" customHeight="1" x14ac:dyDescent="0.45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spans="1:26" ht="15.75" customHeight="1" x14ac:dyDescent="0.45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spans="1:26" ht="15.75" customHeight="1" x14ac:dyDescent="0.45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spans="1:26" ht="15.75" customHeight="1" x14ac:dyDescent="0.45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spans="1:26" ht="15.75" customHeight="1" x14ac:dyDescent="0.45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spans="1:26" ht="15.75" customHeight="1" x14ac:dyDescent="0.45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spans="1:26" ht="15.75" customHeight="1" x14ac:dyDescent="0.45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spans="1:26" ht="15.75" customHeight="1" x14ac:dyDescent="0.45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spans="1:26" ht="15.75" customHeight="1" x14ac:dyDescent="0.45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spans="1:26" ht="15.75" customHeight="1" x14ac:dyDescent="0.45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spans="1:26" ht="15.75" customHeight="1" x14ac:dyDescent="0.45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spans="1:26" ht="15.75" customHeight="1" x14ac:dyDescent="0.45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spans="1:26" ht="15.75" customHeight="1" x14ac:dyDescent="0.45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spans="1:26" ht="15.75" customHeight="1" x14ac:dyDescent="0.45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spans="1:26" ht="15.75" customHeight="1" x14ac:dyDescent="0.4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spans="1:26" ht="15.75" customHeight="1" x14ac:dyDescent="0.45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spans="1:26" ht="15.75" customHeight="1" x14ac:dyDescent="0.45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spans="1:26" ht="15.75" customHeight="1" x14ac:dyDescent="0.45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spans="1:26" ht="15.75" customHeight="1" x14ac:dyDescent="0.45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spans="1:26" ht="15.75" customHeight="1" x14ac:dyDescent="0.45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spans="1:26" ht="15.75" customHeight="1" x14ac:dyDescent="0.45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spans="1:26" ht="15.75" customHeight="1" x14ac:dyDescent="0.45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spans="1:26" ht="15.75" customHeight="1" x14ac:dyDescent="0.45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spans="1:26" ht="15.75" customHeight="1" x14ac:dyDescent="0.45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spans="1:26" ht="15.75" customHeight="1" x14ac:dyDescent="0.45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spans="1:26" ht="15.75" customHeight="1" x14ac:dyDescent="0.45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spans="1:26" ht="15.75" customHeight="1" x14ac:dyDescent="0.45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spans="1:26" ht="15.75" customHeight="1" x14ac:dyDescent="0.45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spans="1:26" ht="15.75" customHeight="1" x14ac:dyDescent="0.45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spans="1:26" ht="15.75" customHeight="1" x14ac:dyDescent="0.45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spans="1:26" ht="15.75" customHeight="1" x14ac:dyDescent="0.45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spans="1:26" ht="15.75" customHeight="1" x14ac:dyDescent="0.45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spans="1:26" ht="15.75" customHeight="1" x14ac:dyDescent="0.45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spans="1:26" ht="15.75" customHeight="1" x14ac:dyDescent="0.45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spans="1:26" ht="15.75" customHeight="1" x14ac:dyDescent="0.45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spans="1:26" ht="15.75" customHeight="1" x14ac:dyDescent="0.45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spans="1:26" ht="15.75" customHeight="1" x14ac:dyDescent="0.45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spans="1:26" ht="15.75" customHeight="1" x14ac:dyDescent="0.45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spans="1:26" ht="15.75" customHeight="1" x14ac:dyDescent="0.45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spans="1:26" ht="15.75" customHeight="1" x14ac:dyDescent="0.45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spans="1:26" ht="15.75" customHeight="1" x14ac:dyDescent="0.45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spans="1:26" ht="15.75" customHeight="1" x14ac:dyDescent="0.45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spans="1:26" ht="15.75" customHeight="1" x14ac:dyDescent="0.45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spans="1:26" ht="15.75" customHeight="1" x14ac:dyDescent="0.45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spans="1:26" ht="15.75" customHeight="1" x14ac:dyDescent="0.45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spans="1:26" ht="15.75" customHeight="1" x14ac:dyDescent="0.45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spans="1:26" ht="15.75" customHeight="1" x14ac:dyDescent="0.45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spans="1:26" ht="15.75" customHeight="1" x14ac:dyDescent="0.45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spans="1:26" ht="15.75" customHeight="1" x14ac:dyDescent="0.45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spans="1:26" ht="15.75" customHeight="1" x14ac:dyDescent="0.45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14">
    <mergeCell ref="B7:O10"/>
    <mergeCell ref="C12:O12"/>
    <mergeCell ref="B13:B21"/>
    <mergeCell ref="C13:O13"/>
    <mergeCell ref="C14:O21"/>
    <mergeCell ref="B22:B28"/>
    <mergeCell ref="B29:B32"/>
    <mergeCell ref="B33:B37"/>
    <mergeCell ref="C29:O29"/>
    <mergeCell ref="C30:O32"/>
    <mergeCell ref="C33:O33"/>
    <mergeCell ref="C34:O37"/>
    <mergeCell ref="C22:O22"/>
    <mergeCell ref="C23:O28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Follow Up 1st</vt:lpstr>
      <vt:lpstr>Result2</vt:lpstr>
      <vt:lpstr>Findings &amp;DiscussionTerm1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Mr.Ayman Ashour</dc:creator>
  <cp:lastModifiedBy>hosam mostafa</cp:lastModifiedBy>
  <dcterms:created xsi:type="dcterms:W3CDTF">2024-10-11T14:55:12Z</dcterms:created>
  <dcterms:modified xsi:type="dcterms:W3CDTF">2025-11-03T22:08:23Z</dcterms:modified>
</cp:coreProperties>
</file>